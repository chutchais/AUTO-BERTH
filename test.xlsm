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6330" yWindow="1080" windowWidth="12600" windowHeight="7320" activeTab="2"/>
  </bookViews>
  <sheets>
    <sheet name="schedule" sheetId="12" r:id="rId1"/>
    <sheet name="schedule2" sheetId="11" r:id="rId2"/>
    <sheet name="plan" sheetId="3" r:id="rId3"/>
  </sheets>
  <functionGroups builtInGroupCount="17"/>
  <definedNames>
    <definedName name="_xlnm._FilterDatabase" localSheetId="2" hidden="1">plan!$A$1:$AV$1</definedName>
    <definedName name="_xlnm._FilterDatabase" localSheetId="0" hidden="1">schedule!#REF!</definedName>
    <definedName name="_xlnm._FilterDatabase" localSheetId="1" hidden="1">schedule2!#REF!</definedName>
    <definedName name="_xlnm.Print_Area" localSheetId="0">schedule!$A$1:$AV$51</definedName>
    <definedName name="_xlnm.Print_Area" localSheetId="1">schedule2!$A$1:$AV$12</definedName>
  </definedNames>
  <calcPr calcId="144525"/>
</workbook>
</file>

<file path=xl/calcChain.xml><?xml version="1.0" encoding="utf-8"?>
<calcChain xmlns="http://schemas.openxmlformats.org/spreadsheetml/2006/main">
  <c r="AD54" i="12" l="1"/>
  <c r="B51" i="12" l="1"/>
  <c r="H50" i="12"/>
  <c r="H4" i="12"/>
  <c r="H4" i="11" l="1"/>
</calcChain>
</file>

<file path=xl/comments1.xml><?xml version="1.0" encoding="utf-8"?>
<comments xmlns="http://schemas.openxmlformats.org/spreadsheetml/2006/main">
  <authors>
    <author>Chutchai S.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Month Start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Date Start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Month Stop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Date Stop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<sst xmlns="http://schemas.openxmlformats.org/spreadsheetml/2006/main" count="89" uniqueCount="59">
  <si>
    <t>Day</t>
  </si>
  <si>
    <t>Hr</t>
  </si>
  <si>
    <t>Date</t>
  </si>
  <si>
    <t>Possition</t>
  </si>
  <si>
    <t>Voy</t>
  </si>
  <si>
    <t>LOA</t>
  </si>
  <si>
    <t>DIS</t>
  </si>
  <si>
    <t>LOAD</t>
  </si>
  <si>
    <t>TOTAL</t>
  </si>
  <si>
    <t>Code</t>
  </si>
  <si>
    <t>Service</t>
  </si>
  <si>
    <t>MON</t>
  </si>
  <si>
    <t>TUE</t>
  </si>
  <si>
    <t>WED</t>
  </si>
  <si>
    <t>THU</t>
  </si>
  <si>
    <t>FRI</t>
  </si>
  <si>
    <t>SAT</t>
  </si>
  <si>
    <t>SUN</t>
  </si>
  <si>
    <t>Possition for Pilot</t>
  </si>
  <si>
    <t xml:space="preserve">  </t>
  </si>
  <si>
    <t>sds</t>
  </si>
  <si>
    <t>Berth</t>
  </si>
  <si>
    <t>Vessel</t>
  </si>
  <si>
    <t>StartPos</t>
  </si>
  <si>
    <t>Comment</t>
  </si>
  <si>
    <t>Type</t>
  </si>
  <si>
    <t>G</t>
  </si>
  <si>
    <t>EstTeu</t>
  </si>
  <si>
    <t>MoveProforma</t>
  </si>
  <si>
    <t>UpdateMoves</t>
  </si>
  <si>
    <t>ArrivalDraft</t>
  </si>
  <si>
    <t>VslOperator</t>
  </si>
  <si>
    <t>ProformaOut</t>
  </si>
  <si>
    <t>ProformaIn</t>
  </si>
  <si>
    <t>WEEK</t>
  </si>
  <si>
    <t>ETD_DATE</t>
  </si>
  <si>
    <t>ETB_DATE</t>
  </si>
  <si>
    <t>ETB_TIME</t>
  </si>
  <si>
    <t>ETA_DATE</t>
  </si>
  <si>
    <t>ETA_TIME</t>
  </si>
  <si>
    <t>ETD_TIME</t>
  </si>
  <si>
    <t>Total TUES</t>
  </si>
  <si>
    <t>Total Vessle Call</t>
  </si>
  <si>
    <t>Total Barge Call</t>
  </si>
  <si>
    <t>Last update :</t>
  </si>
  <si>
    <t>Show</t>
  </si>
  <si>
    <t>DATE</t>
  </si>
  <si>
    <t>YEAR</t>
  </si>
  <si>
    <t>Color</t>
  </si>
  <si>
    <t>slug</t>
  </si>
  <si>
    <t>startCol</t>
  </si>
  <si>
    <t>stopCol</t>
  </si>
  <si>
    <t>HORN</t>
  </si>
  <si>
    <t>MAERSK EUPHRATES</t>
  </si>
  <si>
    <t>G81</t>
  </si>
  <si>
    <t>MSK</t>
  </si>
  <si>
    <t>30/16:00</t>
  </si>
  <si>
    <t>30/17:00</t>
  </si>
  <si>
    <t>01/23:00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</si>
</sst>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h:mm;@"/>
  </numFmts>
  <fonts count="5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3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b/>
      <sz val="15"/>
      <name val="Arial"/>
      <family val="2"/>
    </font>
    <font>
      <b/>
      <sz val="16"/>
      <name val="Arial"/>
      <family val="2"/>
    </font>
    <font>
      <b/>
      <sz val="16"/>
      <color indexed="10"/>
      <name val="Arial"/>
      <family val="2"/>
    </font>
    <font>
      <b/>
      <sz val="16"/>
      <color indexed="60"/>
      <name val="Arial"/>
      <family val="2"/>
    </font>
    <font>
      <sz val="1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sz val="12"/>
      <name val="Calibri"/>
      <family val="2"/>
    </font>
    <font>
      <sz val="11"/>
      <name val="Calibri"/>
      <family val="2"/>
    </font>
    <font>
      <u/>
      <sz val="10"/>
      <name val="Arial"/>
      <family val="2"/>
    </font>
    <font>
      <b/>
      <sz val="20"/>
      <name val="Calibri"/>
      <family val="2"/>
    </font>
    <font>
      <sz val="18"/>
      <name val="Arial"/>
      <family val="2"/>
    </font>
    <font>
      <u/>
      <sz val="10"/>
      <color theme="10"/>
      <name val="Arial"/>
      <family val="2"/>
    </font>
    <font>
      <b/>
      <sz val="16"/>
      <color theme="1"/>
      <name val="Arial"/>
      <family val="2"/>
    </font>
    <font>
      <b/>
      <sz val="16"/>
      <color rgb="FFFF0000"/>
      <name val="Arial"/>
      <family val="2"/>
    </font>
    <font>
      <sz val="12"/>
      <color theme="0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b/>
      <sz val="11"/>
      <color rgb="FFFF0000"/>
      <name val="Arial"/>
      <family val="2"/>
    </font>
    <font>
      <b/>
      <sz val="18"/>
      <color rgb="FFFF0000"/>
      <name val="Arial"/>
      <family val="2"/>
    </font>
    <font>
      <b/>
      <sz val="10"/>
      <color theme="0"/>
      <name val="Arial"/>
      <family val="2"/>
    </font>
    <font>
      <b/>
      <sz val="18"/>
      <color theme="1"/>
      <name val="Arial"/>
      <family val="2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6"/>
      <color theme="0"/>
      <name val="Arial"/>
      <family val="2"/>
    </font>
    <font>
      <b/>
      <sz val="14"/>
      <color rgb="FFFFFF00"/>
      <name val="Arial"/>
      <family val="2"/>
    </font>
    <font>
      <b/>
      <sz val="11"/>
      <color theme="0"/>
      <name val="Arial"/>
      <family val="2"/>
    </font>
    <font>
      <sz val="18"/>
      <color theme="0"/>
      <name val="Calibri"/>
      <family val="2"/>
    </font>
    <font>
      <b/>
      <sz val="18"/>
      <color rgb="FFFFFFFF"/>
      <name val="Calibri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</font>
    <font>
      <sz val="16"/>
      <color theme="1"/>
      <name val="Arial"/>
      <family val="2"/>
    </font>
    <font>
      <b/>
      <sz val="14"/>
      <color rgb="FFFF0000"/>
      <name val="Arial"/>
      <family val="2"/>
    </font>
    <font>
      <sz val="10"/>
      <color rgb="FF000000"/>
      <name val="Arial"/>
      <family val="2"/>
    </font>
    <font>
      <b/>
      <sz val="20"/>
      <name val="Arial"/>
      <family val="2"/>
    </font>
    <font>
      <b/>
      <sz val="10"/>
      <color rgb="FFFFFFFF"/>
      <name val="Arial"/>
      <family val="2"/>
    </font>
    <font>
      <b/>
      <sz val="18"/>
      <color rgb="FFFFFF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2" tint="-9.9978637043366805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">
    <xf numFmtId="0" fontId="0" fillId="0" borderId="0"/>
    <xf numFmtId="0" fontId="24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</cellStyleXfs>
  <cellXfs count="443">
    <xf numFmtId="0" fontId="0" fillId="0" borderId="0" xfId="0"/>
    <xf numFmtId="0" fontId="2" fillId="0" borderId="0" xfId="0" applyFont="1"/>
    <xf numFmtId="0" fontId="6" fillId="0" borderId="0" xfId="0" applyFont="1"/>
    <xf numFmtId="0" fontId="4" fillId="0" borderId="1" xfId="0" applyFont="1" applyBorder="1"/>
    <xf numFmtId="0" fontId="4" fillId="0" borderId="0" xfId="0" applyFont="1"/>
    <xf numFmtId="0" fontId="11" fillId="0" borderId="0" xfId="0" applyFont="1" applyBorder="1"/>
    <xf numFmtId="0" fontId="5" fillId="0" borderId="0" xfId="0" applyFont="1" applyBorder="1"/>
    <xf numFmtId="0" fontId="2" fillId="0" borderId="0" xfId="0" applyFont="1" applyBorder="1"/>
    <xf numFmtId="0" fontId="4" fillId="0" borderId="0" xfId="0" applyFont="1" applyBorder="1"/>
    <xf numFmtId="0" fontId="6" fillId="0" borderId="0" xfId="0" applyFont="1" applyFill="1" applyBorder="1"/>
    <xf numFmtId="0" fontId="6" fillId="0" borderId="1" xfId="0" applyFont="1" applyBorder="1"/>
    <xf numFmtId="0" fontId="8" fillId="2" borderId="1" xfId="0" applyFont="1" applyFill="1" applyBorder="1"/>
    <xf numFmtId="0" fontId="8" fillId="3" borderId="7" xfId="0" applyFont="1" applyFill="1" applyBorder="1"/>
    <xf numFmtId="0" fontId="8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left"/>
    </xf>
    <xf numFmtId="0" fontId="8" fillId="4" borderId="1" xfId="0" applyFont="1" applyFill="1" applyBorder="1"/>
    <xf numFmtId="0" fontId="4" fillId="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Border="1"/>
    <xf numFmtId="0" fontId="8" fillId="0" borderId="0" xfId="0" applyFont="1" applyFill="1" applyBorder="1"/>
    <xf numFmtId="0" fontId="8" fillId="7" borderId="9" xfId="0" applyFont="1" applyFill="1" applyBorder="1" applyAlignment="1">
      <alignment horizontal="left"/>
    </xf>
    <xf numFmtId="0" fontId="8" fillId="7" borderId="8" xfId="0" applyFont="1" applyFill="1" applyBorder="1" applyAlignment="1">
      <alignment horizontal="left"/>
    </xf>
    <xf numFmtId="0" fontId="36" fillId="0" borderId="0" xfId="0" applyFont="1" applyFill="1"/>
    <xf numFmtId="0" fontId="38" fillId="0" borderId="0" xfId="0" applyFont="1" applyFill="1"/>
    <xf numFmtId="0" fontId="40" fillId="0" borderId="0" xfId="0" quotePrefix="1" applyFont="1" applyFill="1"/>
    <xf numFmtId="0" fontId="40" fillId="0" borderId="0" xfId="0" applyFont="1" applyFill="1"/>
    <xf numFmtId="0" fontId="32" fillId="0" borderId="0" xfId="0" applyFont="1" applyFill="1"/>
    <xf numFmtId="0" fontId="47" fillId="0" borderId="0" xfId="0" applyFont="1" applyFill="1"/>
    <xf numFmtId="0" fontId="8" fillId="6" borderId="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8" fillId="6" borderId="5" xfId="0" applyFont="1" applyFill="1" applyBorder="1" applyAlignment="1">
      <alignment horizontal="center"/>
    </xf>
    <xf numFmtId="0" fontId="11" fillId="0" borderId="1" xfId="0" applyFont="1" applyBorder="1" applyAlignment="1">
      <alignment horizontal="right"/>
    </xf>
    <xf numFmtId="0" fontId="11" fillId="0" borderId="1" xfId="0" applyFont="1" applyFill="1" applyBorder="1"/>
    <xf numFmtId="0" fontId="5" fillId="0" borderId="1" xfId="0" applyFont="1" applyFill="1" applyBorder="1"/>
    <xf numFmtId="0" fontId="11" fillId="0" borderId="1" xfId="0" applyFont="1" applyBorder="1"/>
    <xf numFmtId="0" fontId="2" fillId="0" borderId="1" xfId="0" applyFont="1" applyFill="1" applyBorder="1"/>
    <xf numFmtId="0" fontId="8" fillId="0" borderId="6" xfId="0" applyFont="1" applyBorder="1"/>
    <xf numFmtId="0" fontId="8" fillId="0" borderId="6" xfId="0" applyFont="1" applyFill="1" applyBorder="1"/>
    <xf numFmtId="0" fontId="3" fillId="0" borderId="6" xfId="0" applyFont="1" applyFill="1" applyBorder="1" applyAlignment="1">
      <alignment horizontal="center" vertical="center"/>
    </xf>
    <xf numFmtId="0" fontId="11" fillId="0" borderId="12" xfId="0" applyFont="1" applyFill="1" applyBorder="1"/>
    <xf numFmtId="0" fontId="11" fillId="0" borderId="12" xfId="0" applyFont="1" applyBorder="1"/>
    <xf numFmtId="0" fontId="16" fillId="0" borderId="12" xfId="0" applyFont="1" applyBorder="1"/>
    <xf numFmtId="0" fontId="5" fillId="0" borderId="12" xfId="0" applyFont="1" applyBorder="1"/>
    <xf numFmtId="0" fontId="5" fillId="0" borderId="12" xfId="0" applyFont="1" applyFill="1" applyBorder="1"/>
    <xf numFmtId="0" fontId="32" fillId="0" borderId="12" xfId="0" applyFont="1" applyFill="1" applyBorder="1"/>
    <xf numFmtId="0" fontId="37" fillId="0" borderId="12" xfId="0" applyFont="1" applyFill="1" applyBorder="1"/>
    <xf numFmtId="0" fontId="17" fillId="0" borderId="12" xfId="0" applyFont="1" applyFill="1" applyBorder="1"/>
    <xf numFmtId="0" fontId="2" fillId="0" borderId="12" xfId="0" applyFont="1" applyFill="1" applyBorder="1" applyAlignment="1">
      <alignment horizontal="center"/>
    </xf>
    <xf numFmtId="0" fontId="2" fillId="0" borderId="12" xfId="0" applyFont="1" applyBorder="1"/>
    <xf numFmtId="0" fontId="5" fillId="0" borderId="10" xfId="0" applyFont="1" applyFill="1" applyBorder="1"/>
    <xf numFmtId="0" fontId="16" fillId="0" borderId="10" xfId="0" applyFont="1" applyBorder="1"/>
    <xf numFmtId="0" fontId="5" fillId="0" borderId="10" xfId="0" applyFont="1" applyBorder="1"/>
    <xf numFmtId="0" fontId="11" fillId="0" borderId="10" xfId="0" applyFont="1" applyFill="1" applyBorder="1"/>
    <xf numFmtId="0" fontId="11" fillId="0" borderId="10" xfId="0" applyFont="1" applyBorder="1"/>
    <xf numFmtId="17" fontId="32" fillId="0" borderId="10" xfId="0" applyNumberFormat="1" applyFont="1" applyFill="1" applyBorder="1"/>
    <xf numFmtId="0" fontId="32" fillId="0" borderId="10" xfId="0" applyFont="1" applyFill="1" applyBorder="1"/>
    <xf numFmtId="0" fontId="38" fillId="0" borderId="10" xfId="0" applyFont="1" applyFill="1" applyBorder="1"/>
    <xf numFmtId="0" fontId="2" fillId="0" borderId="10" xfId="0" applyFont="1" applyFill="1" applyBorder="1" applyAlignment="1">
      <alignment horizontal="center"/>
    </xf>
    <xf numFmtId="16" fontId="5" fillId="0" borderId="10" xfId="0" quotePrefix="1" applyNumberFormat="1" applyFont="1" applyBorder="1"/>
    <xf numFmtId="0" fontId="11" fillId="0" borderId="10" xfId="0" applyFont="1" applyBorder="1" applyAlignment="1">
      <alignment horizontal="left"/>
    </xf>
    <xf numFmtId="0" fontId="28" fillId="0" borderId="10" xfId="0" applyFont="1" applyFill="1" applyBorder="1" applyAlignment="1">
      <alignment horizontal="left"/>
    </xf>
    <xf numFmtId="0" fontId="8" fillId="0" borderId="10" xfId="0" applyFont="1" applyFill="1" applyBorder="1"/>
    <xf numFmtId="0" fontId="8" fillId="0" borderId="10" xfId="0" applyFont="1" applyBorder="1"/>
    <xf numFmtId="17" fontId="27" fillId="0" borderId="10" xfId="0" applyNumberFormat="1" applyFont="1" applyFill="1" applyBorder="1"/>
    <xf numFmtId="0" fontId="27" fillId="0" borderId="10" xfId="0" applyFont="1" applyFill="1" applyBorder="1"/>
    <xf numFmtId="0" fontId="37" fillId="0" borderId="10" xfId="0" applyFont="1" applyFill="1" applyBorder="1"/>
    <xf numFmtId="0" fontId="11" fillId="0" borderId="10" xfId="0" applyFont="1" applyBorder="1" applyAlignment="1"/>
    <xf numFmtId="0" fontId="2" fillId="0" borderId="10" xfId="0" applyFont="1" applyBorder="1"/>
    <xf numFmtId="0" fontId="15" fillId="0" borderId="10" xfId="0" applyFont="1" applyBorder="1"/>
    <xf numFmtId="0" fontId="18" fillId="0" borderId="10" xfId="0" applyFont="1" applyFill="1" applyBorder="1"/>
    <xf numFmtId="0" fontId="26" fillId="0" borderId="10" xfId="0" applyFont="1" applyFill="1" applyBorder="1" applyAlignment="1">
      <alignment horizontal="left"/>
    </xf>
    <xf numFmtId="0" fontId="18" fillId="0" borderId="10" xfId="0" applyFont="1" applyBorder="1"/>
    <xf numFmtId="0" fontId="28" fillId="0" borderId="10" xfId="0" applyFont="1" applyFill="1" applyBorder="1"/>
    <xf numFmtId="0" fontId="15" fillId="0" borderId="10" xfId="0" applyFont="1" applyFill="1" applyBorder="1"/>
    <xf numFmtId="0" fontId="36" fillId="0" borderId="10" xfId="0" applyFont="1" applyFill="1" applyBorder="1"/>
    <xf numFmtId="0" fontId="33" fillId="0" borderId="10" xfId="0" applyFont="1" applyFill="1" applyBorder="1"/>
    <xf numFmtId="0" fontId="25" fillId="0" borderId="10" xfId="0" applyFont="1" applyFill="1" applyBorder="1"/>
    <xf numFmtId="0" fontId="11" fillId="0" borderId="17" xfId="0" applyFont="1" applyFill="1" applyBorder="1"/>
    <xf numFmtId="0" fontId="11" fillId="0" borderId="17" xfId="0" applyFont="1" applyBorder="1"/>
    <xf numFmtId="0" fontId="5" fillId="0" borderId="17" xfId="0" applyFont="1" applyBorder="1"/>
    <xf numFmtId="0" fontId="2" fillId="0" borderId="17" xfId="0" applyFont="1" applyBorder="1"/>
    <xf numFmtId="0" fontId="8" fillId="0" borderId="17" xfId="0" applyFont="1" applyBorder="1"/>
    <xf numFmtId="0" fontId="38" fillId="0" borderId="17" xfId="0" applyFont="1" applyFill="1" applyBorder="1"/>
    <xf numFmtId="0" fontId="37" fillId="0" borderId="17" xfId="0" applyFont="1" applyFill="1" applyBorder="1"/>
    <xf numFmtId="0" fontId="2" fillId="0" borderId="17" xfId="0" applyFont="1" applyFill="1" applyBorder="1" applyAlignment="1">
      <alignment horizontal="center"/>
    </xf>
    <xf numFmtId="0" fontId="17" fillId="0" borderId="23" xfId="0" applyFont="1" applyFill="1" applyBorder="1"/>
    <xf numFmtId="0" fontId="39" fillId="0" borderId="7" xfId="0" applyFont="1" applyFill="1" applyBorder="1"/>
    <xf numFmtId="0" fontId="38" fillId="0" borderId="7" xfId="0" applyFont="1" applyFill="1" applyBorder="1"/>
    <xf numFmtId="0" fontId="33" fillId="0" borderId="7" xfId="0" applyFont="1" applyFill="1" applyBorder="1"/>
    <xf numFmtId="0" fontId="26" fillId="0" borderId="24" xfId="0" applyFont="1" applyFill="1" applyBorder="1"/>
    <xf numFmtId="0" fontId="17" fillId="0" borderId="25" xfId="0" applyFont="1" applyFill="1" applyBorder="1"/>
    <xf numFmtId="0" fontId="38" fillId="0" borderId="26" xfId="0" applyFont="1" applyFill="1" applyBorder="1"/>
    <xf numFmtId="0" fontId="32" fillId="0" borderId="26" xfId="0" applyFont="1" applyFill="1" applyBorder="1"/>
    <xf numFmtId="0" fontId="38" fillId="0" borderId="27" xfId="0" applyFont="1" applyFill="1" applyBorder="1"/>
    <xf numFmtId="0" fontId="11" fillId="0" borderId="26" xfId="0" applyFont="1" applyFill="1" applyBorder="1"/>
    <xf numFmtId="0" fontId="11" fillId="0" borderId="23" xfId="0" applyFont="1" applyFill="1" applyBorder="1"/>
    <xf numFmtId="0" fontId="11" fillId="0" borderId="7" xfId="0" applyFont="1" applyFill="1" applyBorder="1"/>
    <xf numFmtId="0" fontId="31" fillId="0" borderId="7" xfId="0" applyFont="1" applyFill="1" applyBorder="1" applyAlignment="1">
      <alignment horizontal="left"/>
    </xf>
    <xf numFmtId="0" fontId="15" fillId="0" borderId="24" xfId="0" applyFont="1" applyFill="1" applyBorder="1"/>
    <xf numFmtId="0" fontId="8" fillId="0" borderId="26" xfId="0" applyFont="1" applyFill="1" applyBorder="1"/>
    <xf numFmtId="0" fontId="8" fillId="6" borderId="2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0" fillId="0" borderId="14" xfId="0" applyBorder="1" applyAlignment="1"/>
    <xf numFmtId="0" fontId="0" fillId="0" borderId="21" xfId="0" applyBorder="1" applyAlignment="1"/>
    <xf numFmtId="164" fontId="0" fillId="0" borderId="0" xfId="0" applyNumberFormat="1"/>
    <xf numFmtId="165" fontId="0" fillId="0" borderId="0" xfId="0" applyNumberFormat="1"/>
    <xf numFmtId="164" fontId="6" fillId="8" borderId="28" xfId="0" applyNumberFormat="1" applyFont="1" applyFill="1" applyBorder="1"/>
    <xf numFmtId="164" fontId="6" fillId="11" borderId="28" xfId="0" applyNumberFormat="1" applyFont="1" applyFill="1" applyBorder="1"/>
    <xf numFmtId="165" fontId="6" fillId="8" borderId="28" xfId="0" applyNumberFormat="1" applyFont="1" applyFill="1" applyBorder="1" applyAlignment="1">
      <alignment horizontal="center"/>
    </xf>
    <xf numFmtId="0" fontId="8" fillId="7" borderId="3" xfId="0" applyFont="1" applyFill="1" applyBorder="1" applyAlignment="1">
      <alignment horizontal="left"/>
    </xf>
    <xf numFmtId="164" fontId="6" fillId="12" borderId="28" xfId="0" applyNumberFormat="1" applyFont="1" applyFill="1" applyBorder="1"/>
    <xf numFmtId="165" fontId="6" fillId="12" borderId="28" xfId="0" applyNumberFormat="1" applyFont="1" applyFill="1" applyBorder="1" applyAlignment="1">
      <alignment horizontal="center"/>
    </xf>
    <xf numFmtId="165" fontId="6" fillId="11" borderId="28" xfId="0" applyNumberFormat="1" applyFont="1" applyFill="1" applyBorder="1" applyAlignment="1">
      <alignment horizontal="left"/>
    </xf>
    <xf numFmtId="0" fontId="8" fillId="6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0" fillId="0" borderId="14" xfId="0" applyFont="1" applyBorder="1" applyAlignment="1"/>
    <xf numFmtId="0" fontId="50" fillId="0" borderId="0" xfId="0" applyFont="1" applyBorder="1" applyAlignment="1"/>
    <xf numFmtId="0" fontId="11" fillId="8" borderId="11" xfId="0" applyFont="1" applyFill="1" applyBorder="1"/>
    <xf numFmtId="0" fontId="11" fillId="11" borderId="11" xfId="0" applyFont="1" applyFill="1" applyBorder="1"/>
    <xf numFmtId="0" fontId="0" fillId="0" borderId="0" xfId="0" applyBorder="1"/>
    <xf numFmtId="0" fontId="6" fillId="0" borderId="14" xfId="2" applyBorder="1" applyAlignment="1"/>
    <xf numFmtId="0" fontId="6" fillId="0" borderId="0" xfId="2"/>
    <xf numFmtId="0" fontId="4" fillId="0" borderId="0" xfId="2" applyFont="1" applyAlignment="1">
      <alignment horizontal="center"/>
    </xf>
    <xf numFmtId="0" fontId="6" fillId="0" borderId="0" xfId="2" applyAlignment="1">
      <alignment horizontal="center"/>
    </xf>
    <xf numFmtId="0" fontId="6" fillId="0" borderId="21" xfId="2" applyBorder="1" applyAlignment="1"/>
    <xf numFmtId="0" fontId="8" fillId="4" borderId="33" xfId="2" applyFont="1" applyFill="1" applyBorder="1"/>
    <xf numFmtId="0" fontId="8" fillId="2" borderId="33" xfId="2" applyFont="1" applyFill="1" applyBorder="1"/>
    <xf numFmtId="0" fontId="8" fillId="3" borderId="32" xfId="2" applyFont="1" applyFill="1" applyBorder="1"/>
    <xf numFmtId="0" fontId="8" fillId="3" borderId="33" xfId="2" applyFont="1" applyFill="1" applyBorder="1"/>
    <xf numFmtId="0" fontId="4" fillId="3" borderId="33" xfId="2" applyFont="1" applyFill="1" applyBorder="1" applyAlignment="1">
      <alignment horizontal="center"/>
    </xf>
    <xf numFmtId="0" fontId="8" fillId="3" borderId="33" xfId="2" applyFont="1" applyFill="1" applyBorder="1" applyAlignment="1">
      <alignment horizontal="center"/>
    </xf>
    <xf numFmtId="0" fontId="8" fillId="3" borderId="33" xfId="2" applyFont="1" applyFill="1" applyBorder="1" applyAlignment="1">
      <alignment horizontal="left"/>
    </xf>
    <xf numFmtId="0" fontId="8" fillId="0" borderId="0" xfId="2" applyFont="1" applyBorder="1"/>
    <xf numFmtId="0" fontId="6" fillId="0" borderId="0" xfId="2" applyFont="1" applyFill="1" applyBorder="1"/>
    <xf numFmtId="0" fontId="6" fillId="0" borderId="0" xfId="2" applyFont="1"/>
    <xf numFmtId="0" fontId="8" fillId="0" borderId="0" xfId="2" applyFont="1" applyFill="1" applyBorder="1"/>
    <xf numFmtId="0" fontId="4" fillId="0" borderId="33" xfId="2" applyFont="1" applyBorder="1"/>
    <xf numFmtId="0" fontId="6" fillId="0" borderId="33" xfId="2" applyFont="1" applyBorder="1"/>
    <xf numFmtId="0" fontId="6" fillId="0" borderId="33" xfId="2" applyFont="1" applyBorder="1" applyAlignment="1">
      <alignment horizontal="center"/>
    </xf>
    <xf numFmtId="0" fontId="8" fillId="0" borderId="6" xfId="2" applyFont="1" applyBorder="1"/>
    <xf numFmtId="0" fontId="8" fillId="0" borderId="6" xfId="2" applyFont="1" applyFill="1" applyBorder="1"/>
    <xf numFmtId="0" fontId="3" fillId="0" borderId="6" xfId="2" applyFont="1" applyFill="1" applyBorder="1" applyAlignment="1">
      <alignment horizontal="center" vertical="center"/>
    </xf>
    <xf numFmtId="0" fontId="4" fillId="0" borderId="0" xfId="2" applyFont="1" applyBorder="1"/>
    <xf numFmtId="0" fontId="4" fillId="0" borderId="0" xfId="2" applyFont="1"/>
    <xf numFmtId="0" fontId="11" fillId="0" borderId="33" xfId="2" applyFont="1" applyBorder="1" applyAlignment="1">
      <alignment horizontal="right"/>
    </xf>
    <xf numFmtId="0" fontId="11" fillId="0" borderId="33" xfId="2" applyFont="1" applyFill="1" applyBorder="1"/>
    <xf numFmtId="0" fontId="5" fillId="0" borderId="33" xfId="2" applyFont="1" applyFill="1" applyBorder="1"/>
    <xf numFmtId="0" fontId="11" fillId="0" borderId="26" xfId="2" applyFont="1" applyFill="1" applyBorder="1"/>
    <xf numFmtId="0" fontId="11" fillId="0" borderId="23" xfId="2" applyFont="1" applyFill="1" applyBorder="1"/>
    <xf numFmtId="0" fontId="11" fillId="0" borderId="12" xfId="2" applyFont="1" applyFill="1" applyBorder="1"/>
    <xf numFmtId="0" fontId="11" fillId="0" borderId="12" xfId="2" applyFont="1" applyBorder="1"/>
    <xf numFmtId="0" fontId="16" fillId="0" borderId="12" xfId="2" applyFont="1" applyBorder="1"/>
    <xf numFmtId="0" fontId="5" fillId="0" borderId="12" xfId="2" applyFont="1" applyBorder="1"/>
    <xf numFmtId="0" fontId="5" fillId="0" borderId="12" xfId="2" applyFont="1" applyFill="1" applyBorder="1"/>
    <xf numFmtId="0" fontId="32" fillId="0" borderId="12" xfId="2" applyFont="1" applyFill="1" applyBorder="1"/>
    <xf numFmtId="0" fontId="37" fillId="0" borderId="12" xfId="2" applyFont="1" applyFill="1" applyBorder="1"/>
    <xf numFmtId="0" fontId="17" fillId="0" borderId="12" xfId="2" applyFont="1" applyFill="1" applyBorder="1"/>
    <xf numFmtId="0" fontId="17" fillId="0" borderId="25" xfId="2" applyFont="1" applyFill="1" applyBorder="1"/>
    <xf numFmtId="0" fontId="17" fillId="0" borderId="23" xfId="2" applyFont="1" applyFill="1" applyBorder="1"/>
    <xf numFmtId="0" fontId="2" fillId="0" borderId="12" xfId="2" applyFont="1" applyFill="1" applyBorder="1" applyAlignment="1">
      <alignment horizontal="center"/>
    </xf>
    <xf numFmtId="0" fontId="2" fillId="0" borderId="12" xfId="2" applyFont="1" applyBorder="1"/>
    <xf numFmtId="0" fontId="11" fillId="0" borderId="13" xfId="2" applyFont="1" applyBorder="1"/>
    <xf numFmtId="0" fontId="2" fillId="0" borderId="14" xfId="2" applyFont="1" applyBorder="1"/>
    <xf numFmtId="0" fontId="11" fillId="0" borderId="15" xfId="2" applyFont="1" applyBorder="1"/>
    <xf numFmtId="0" fontId="5" fillId="0" borderId="0" xfId="2" applyFont="1" applyBorder="1"/>
    <xf numFmtId="0" fontId="11" fillId="0" borderId="0" xfId="2" applyFont="1" applyBorder="1"/>
    <xf numFmtId="0" fontId="2" fillId="0" borderId="0" xfId="2" applyFont="1"/>
    <xf numFmtId="0" fontId="38" fillId="0" borderId="0" xfId="2" applyFont="1" applyFill="1"/>
    <xf numFmtId="0" fontId="36" fillId="0" borderId="0" xfId="2" applyFont="1" applyFill="1"/>
    <xf numFmtId="0" fontId="11" fillId="0" borderId="33" xfId="2" applyFont="1" applyBorder="1"/>
    <xf numFmtId="0" fontId="11" fillId="0" borderId="32" xfId="2" applyFont="1" applyFill="1" applyBorder="1"/>
    <xf numFmtId="0" fontId="16" fillId="0" borderId="33" xfId="2" applyFont="1" applyBorder="1"/>
    <xf numFmtId="0" fontId="5" fillId="0" borderId="33" xfId="2" applyFont="1" applyBorder="1"/>
    <xf numFmtId="17" fontId="32" fillId="0" borderId="33" xfId="2" applyNumberFormat="1" applyFont="1" applyFill="1" applyBorder="1"/>
    <xf numFmtId="0" fontId="32" fillId="0" borderId="33" xfId="2" applyFont="1" applyFill="1" applyBorder="1"/>
    <xf numFmtId="0" fontId="38" fillId="0" borderId="33" xfId="2" applyFont="1" applyFill="1" applyBorder="1"/>
    <xf numFmtId="0" fontId="38" fillId="0" borderId="26" xfId="2" applyFont="1" applyFill="1" applyBorder="1"/>
    <xf numFmtId="0" fontId="39" fillId="0" borderId="32" xfId="2" applyFont="1" applyFill="1" applyBorder="1"/>
    <xf numFmtId="0" fontId="2" fillId="0" borderId="33" xfId="2" applyFont="1" applyFill="1" applyBorder="1" applyAlignment="1">
      <alignment horizontal="center"/>
    </xf>
    <xf numFmtId="16" fontId="5" fillId="0" borderId="33" xfId="2" quotePrefix="1" applyNumberFormat="1" applyFont="1" applyBorder="1"/>
    <xf numFmtId="0" fontId="11" fillId="0" borderId="33" xfId="2" applyFont="1" applyBorder="1" applyAlignment="1">
      <alignment horizontal="left"/>
    </xf>
    <xf numFmtId="0" fontId="11" fillId="0" borderId="3" xfId="2" applyFont="1" applyBorder="1"/>
    <xf numFmtId="16" fontId="5" fillId="0" borderId="0" xfId="2" quotePrefix="1" applyNumberFormat="1" applyFont="1" applyBorder="1"/>
    <xf numFmtId="0" fontId="11" fillId="0" borderId="16" xfId="2" applyFont="1" applyBorder="1"/>
    <xf numFmtId="0" fontId="40" fillId="0" borderId="0" xfId="2" quotePrefix="1" applyFont="1" applyFill="1"/>
    <xf numFmtId="0" fontId="40" fillId="0" borderId="0" xfId="2" applyFont="1" applyFill="1"/>
    <xf numFmtId="0" fontId="8" fillId="0" borderId="26" xfId="2" applyFont="1" applyFill="1" applyBorder="1"/>
    <xf numFmtId="0" fontId="31" fillId="0" borderId="32" xfId="2" applyFont="1" applyFill="1" applyBorder="1" applyAlignment="1">
      <alignment horizontal="left"/>
    </xf>
    <xf numFmtId="0" fontId="28" fillId="0" borderId="33" xfId="2" applyFont="1" applyFill="1" applyBorder="1" applyAlignment="1">
      <alignment horizontal="left"/>
    </xf>
    <xf numFmtId="0" fontId="8" fillId="0" borderId="33" xfId="2" applyFont="1" applyFill="1" applyBorder="1"/>
    <xf numFmtId="0" fontId="8" fillId="0" borderId="33" xfId="2" applyFont="1" applyBorder="1"/>
    <xf numFmtId="17" fontId="27" fillId="0" borderId="33" xfId="2" applyNumberFormat="1" applyFont="1" applyFill="1" applyBorder="1"/>
    <xf numFmtId="0" fontId="27" fillId="0" borderId="33" xfId="2" applyFont="1" applyFill="1" applyBorder="1"/>
    <xf numFmtId="0" fontId="37" fillId="0" borderId="33" xfId="2" applyFont="1" applyFill="1" applyBorder="1"/>
    <xf numFmtId="0" fontId="38" fillId="0" borderId="32" xfId="2" applyFont="1" applyFill="1" applyBorder="1"/>
    <xf numFmtId="0" fontId="11" fillId="0" borderId="33" xfId="2" applyFont="1" applyBorder="1" applyAlignment="1"/>
    <xf numFmtId="0" fontId="2" fillId="0" borderId="33" xfId="2" applyFont="1" applyBorder="1"/>
    <xf numFmtId="0" fontId="2" fillId="0" borderId="0" xfId="2" applyFont="1" applyBorder="1"/>
    <xf numFmtId="0" fontId="2" fillId="0" borderId="33" xfId="2" applyFont="1" applyFill="1" applyBorder="1"/>
    <xf numFmtId="0" fontId="15" fillId="0" borderId="33" xfId="2" applyFont="1" applyBorder="1"/>
    <xf numFmtId="0" fontId="18" fillId="0" borderId="33" xfId="2" applyFont="1" applyFill="1" applyBorder="1"/>
    <xf numFmtId="16" fontId="5" fillId="0" borderId="3" xfId="2" quotePrefix="1" applyNumberFormat="1" applyFont="1" applyBorder="1"/>
    <xf numFmtId="0" fontId="32" fillId="0" borderId="0" xfId="2" applyFont="1" applyFill="1"/>
    <xf numFmtId="0" fontId="26" fillId="0" borderId="33" xfId="2" applyFont="1" applyFill="1" applyBorder="1" applyAlignment="1">
      <alignment horizontal="left"/>
    </xf>
    <xf numFmtId="0" fontId="18" fillId="0" borderId="33" xfId="2" applyFont="1" applyBorder="1"/>
    <xf numFmtId="0" fontId="28" fillId="0" borderId="33" xfId="2" applyFont="1" applyFill="1" applyBorder="1"/>
    <xf numFmtId="0" fontId="15" fillId="0" borderId="33" xfId="2" applyFont="1" applyFill="1" applyBorder="1"/>
    <xf numFmtId="0" fontId="36" fillId="0" borderId="33" xfId="2" applyFont="1" applyFill="1" applyBorder="1"/>
    <xf numFmtId="0" fontId="32" fillId="0" borderId="26" xfId="2" applyFont="1" applyFill="1" applyBorder="1"/>
    <xf numFmtId="0" fontId="33" fillId="0" borderId="32" xfId="2" applyFont="1" applyFill="1" applyBorder="1"/>
    <xf numFmtId="0" fontId="33" fillId="0" borderId="33" xfId="2" applyFont="1" applyFill="1" applyBorder="1"/>
    <xf numFmtId="0" fontId="25" fillId="0" borderId="33" xfId="2" applyFont="1" applyFill="1" applyBorder="1"/>
    <xf numFmtId="0" fontId="11" fillId="0" borderId="4" xfId="2" applyFont="1" applyBorder="1"/>
    <xf numFmtId="0" fontId="5" fillId="0" borderId="3" xfId="2" applyFont="1" applyBorder="1"/>
    <xf numFmtId="0" fontId="5" fillId="0" borderId="16" xfId="2" applyFont="1" applyBorder="1"/>
    <xf numFmtId="0" fontId="15" fillId="0" borderId="24" xfId="2" applyFont="1" applyFill="1" applyBorder="1"/>
    <xf numFmtId="0" fontId="11" fillId="0" borderId="17" xfId="2" applyFont="1" applyFill="1" applyBorder="1"/>
    <xf numFmtId="0" fontId="11" fillId="0" borderId="17" xfId="2" applyFont="1" applyBorder="1"/>
    <xf numFmtId="0" fontId="5" fillId="0" borderId="17" xfId="2" applyFont="1" applyBorder="1"/>
    <xf numFmtId="0" fontId="2" fillId="0" borderId="17" xfId="2" applyFont="1" applyBorder="1"/>
    <xf numFmtId="0" fontId="8" fillId="0" borderId="17" xfId="2" applyFont="1" applyBorder="1"/>
    <xf numFmtId="0" fontId="38" fillId="0" borderId="27" xfId="2" applyFont="1" applyFill="1" applyBorder="1"/>
    <xf numFmtId="0" fontId="26" fillId="0" borderId="24" xfId="2" applyFont="1" applyFill="1" applyBorder="1"/>
    <xf numFmtId="0" fontId="38" fillId="0" borderId="17" xfId="2" applyFont="1" applyFill="1" applyBorder="1"/>
    <xf numFmtId="0" fontId="37" fillId="0" borderId="17" xfId="2" applyFont="1" applyFill="1" applyBorder="1"/>
    <xf numFmtId="0" fontId="2" fillId="0" borderId="17" xfId="2" applyFont="1" applyFill="1" applyBorder="1" applyAlignment="1">
      <alignment horizontal="center"/>
    </xf>
    <xf numFmtId="0" fontId="11" fillId="0" borderId="18" xfId="2" applyFont="1" applyBorder="1"/>
    <xf numFmtId="0" fontId="11" fillId="0" borderId="19" xfId="2" applyFont="1" applyBorder="1"/>
    <xf numFmtId="0" fontId="11" fillId="0" borderId="20" xfId="2" applyFont="1" applyBorder="1"/>
    <xf numFmtId="0" fontId="47" fillId="0" borderId="0" xfId="2" applyFont="1" applyFill="1"/>
    <xf numFmtId="0" fontId="6" fillId="0" borderId="12" xfId="2" applyFont="1" applyFill="1" applyBorder="1" applyAlignment="1"/>
    <xf numFmtId="0" fontId="8" fillId="0" borderId="12" xfId="2" applyFont="1" applyBorder="1"/>
    <xf numFmtId="0" fontId="8" fillId="0" borderId="12" xfId="2" applyFont="1" applyFill="1" applyBorder="1"/>
    <xf numFmtId="0" fontId="30" fillId="0" borderId="12" xfId="2" applyFont="1" applyFill="1" applyBorder="1"/>
    <xf numFmtId="0" fontId="11" fillId="0" borderId="25" xfId="2" applyFont="1" applyFill="1" applyBorder="1"/>
    <xf numFmtId="0" fontId="29" fillId="0" borderId="23" xfId="2" applyFont="1" applyFill="1" applyBorder="1"/>
    <xf numFmtId="0" fontId="45" fillId="0" borderId="12" xfId="2" applyFont="1" applyFill="1" applyBorder="1"/>
    <xf numFmtId="0" fontId="23" fillId="0" borderId="12" xfId="2" applyFont="1" applyFill="1" applyBorder="1"/>
    <xf numFmtId="0" fontId="18" fillId="0" borderId="12" xfId="2" applyFont="1" applyFill="1" applyBorder="1"/>
    <xf numFmtId="0" fontId="2" fillId="0" borderId="12" xfId="2" applyFont="1" applyFill="1" applyBorder="1"/>
    <xf numFmtId="0" fontId="11" fillId="0" borderId="13" xfId="2" applyFont="1" applyFill="1" applyBorder="1"/>
    <xf numFmtId="0" fontId="11" fillId="0" borderId="14" xfId="2" applyFont="1" applyFill="1" applyBorder="1"/>
    <xf numFmtId="0" fontId="11" fillId="0" borderId="15" xfId="2" applyFont="1" applyFill="1" applyBorder="1"/>
    <xf numFmtId="0" fontId="14" fillId="0" borderId="33" xfId="2" applyFont="1" applyFill="1" applyBorder="1"/>
    <xf numFmtId="0" fontId="11" fillId="0" borderId="26" xfId="2" applyFont="1" applyFill="1" applyBorder="1" applyAlignment="1">
      <alignment vertical="top"/>
    </xf>
    <xf numFmtId="0" fontId="6" fillId="0" borderId="33" xfId="2" applyFont="1" applyFill="1" applyBorder="1"/>
    <xf numFmtId="0" fontId="29" fillId="0" borderId="33" xfId="2" applyFont="1" applyFill="1" applyBorder="1"/>
    <xf numFmtId="0" fontId="8" fillId="0" borderId="32" xfId="2" applyFont="1" applyFill="1" applyBorder="1"/>
    <xf numFmtId="0" fontId="17" fillId="0" borderId="33" xfId="2" applyFont="1" applyFill="1" applyBorder="1"/>
    <xf numFmtId="0" fontId="11" fillId="0" borderId="3" xfId="2" applyFont="1" applyFill="1" applyBorder="1"/>
    <xf numFmtId="0" fontId="11" fillId="0" borderId="0" xfId="2" applyFont="1" applyFill="1" applyBorder="1"/>
    <xf numFmtId="0" fontId="1" fillId="0" borderId="3" xfId="2" applyFont="1" applyFill="1" applyBorder="1"/>
    <xf numFmtId="0" fontId="11" fillId="0" borderId="16" xfId="2" applyFont="1" applyFill="1" applyBorder="1"/>
    <xf numFmtId="0" fontId="30" fillId="0" borderId="33" xfId="2" applyFont="1" applyFill="1" applyBorder="1"/>
    <xf numFmtId="0" fontId="26" fillId="0" borderId="26" xfId="2" applyFont="1" applyFill="1" applyBorder="1" applyAlignment="1">
      <alignment vertical="top"/>
    </xf>
    <xf numFmtId="0" fontId="12" fillId="0" borderId="33" xfId="2" applyFont="1" applyBorder="1"/>
    <xf numFmtId="0" fontId="2" fillId="0" borderId="3" xfId="2" applyFont="1" applyFill="1" applyBorder="1"/>
    <xf numFmtId="0" fontId="20" fillId="0" borderId="0" xfId="2" applyFont="1" applyAlignment="1">
      <alignment vertical="center"/>
    </xf>
    <xf numFmtId="0" fontId="2" fillId="0" borderId="26" xfId="2" applyFont="1" applyFill="1" applyBorder="1"/>
    <xf numFmtId="0" fontId="39" fillId="0" borderId="33" xfId="2" applyFont="1" applyFill="1" applyBorder="1"/>
    <xf numFmtId="0" fontId="43" fillId="0" borderId="33" xfId="2" applyFont="1" applyFill="1" applyBorder="1" applyAlignment="1">
      <alignment horizontal="left" vertical="center"/>
    </xf>
    <xf numFmtId="0" fontId="46" fillId="0" borderId="33" xfId="2" applyFont="1" applyFill="1" applyBorder="1" applyAlignment="1">
      <alignment horizontal="center" vertical="center"/>
    </xf>
    <xf numFmtId="0" fontId="45" fillId="0" borderId="33" xfId="2" applyFont="1" applyFill="1" applyBorder="1"/>
    <xf numFmtId="0" fontId="44" fillId="0" borderId="33" xfId="2" applyFont="1" applyFill="1" applyBorder="1" applyAlignment="1">
      <alignment horizontal="center" vertical="center"/>
    </xf>
    <xf numFmtId="0" fontId="39" fillId="0" borderId="3" xfId="2" applyFont="1" applyFill="1" applyBorder="1"/>
    <xf numFmtId="0" fontId="38" fillId="0" borderId="0" xfId="2" applyFont="1" applyFill="1" applyBorder="1"/>
    <xf numFmtId="0" fontId="38" fillId="0" borderId="3" xfId="2" applyFont="1" applyFill="1" applyBorder="1"/>
    <xf numFmtId="0" fontId="38" fillId="0" borderId="16" xfId="2" applyFont="1" applyFill="1" applyBorder="1"/>
    <xf numFmtId="0" fontId="21" fillId="0" borderId="33" xfId="1" applyFont="1" applyFill="1" applyBorder="1"/>
    <xf numFmtId="0" fontId="32" fillId="0" borderId="3" xfId="2" applyFont="1" applyFill="1" applyBorder="1"/>
    <xf numFmtId="0" fontId="32" fillId="0" borderId="0" xfId="2" applyFont="1" applyFill="1" applyBorder="1"/>
    <xf numFmtId="0" fontId="32" fillId="0" borderId="16" xfId="2" applyFont="1" applyFill="1" applyBorder="1"/>
    <xf numFmtId="0" fontId="6" fillId="0" borderId="17" xfId="2" applyFont="1" applyFill="1" applyBorder="1"/>
    <xf numFmtId="0" fontId="14" fillId="0" borderId="17" xfId="2" applyFont="1" applyFill="1" applyBorder="1"/>
    <xf numFmtId="0" fontId="18" fillId="0" borderId="17" xfId="2" applyFont="1" applyFill="1" applyBorder="1"/>
    <xf numFmtId="0" fontId="5" fillId="0" borderId="17" xfId="2" applyFont="1" applyFill="1" applyBorder="1"/>
    <xf numFmtId="0" fontId="17" fillId="0" borderId="17" xfId="2" applyFont="1" applyBorder="1"/>
    <xf numFmtId="0" fontId="2" fillId="0" borderId="27" xfId="2" applyFont="1" applyBorder="1"/>
    <xf numFmtId="0" fontId="8" fillId="0" borderId="24" xfId="2" applyFont="1" applyFill="1" applyBorder="1"/>
    <xf numFmtId="0" fontId="2" fillId="0" borderId="17" xfId="2" applyFont="1" applyFill="1" applyBorder="1"/>
    <xf numFmtId="0" fontId="15" fillId="0" borderId="17" xfId="2" applyFont="1" applyFill="1" applyBorder="1"/>
    <xf numFmtId="0" fontId="2" fillId="0" borderId="18" xfId="2" applyFont="1" applyFill="1" applyBorder="1"/>
    <xf numFmtId="0" fontId="11" fillId="0" borderId="21" xfId="2" applyFont="1" applyFill="1" applyBorder="1"/>
    <xf numFmtId="0" fontId="5" fillId="0" borderId="18" xfId="2" applyFont="1" applyFill="1" applyBorder="1"/>
    <xf numFmtId="0" fontId="2" fillId="0" borderId="20" xfId="2" applyFont="1" applyFill="1" applyBorder="1"/>
    <xf numFmtId="0" fontId="2" fillId="0" borderId="0" xfId="2" applyFont="1" applyFill="1" applyBorder="1"/>
    <xf numFmtId="0" fontId="6" fillId="0" borderId="12" xfId="2" applyFont="1" applyFill="1" applyBorder="1"/>
    <xf numFmtId="0" fontId="14" fillId="0" borderId="12" xfId="2" applyFont="1" applyFill="1" applyBorder="1"/>
    <xf numFmtId="0" fontId="1" fillId="0" borderId="12" xfId="2" applyFont="1" applyFill="1" applyBorder="1"/>
    <xf numFmtId="0" fontId="15" fillId="0" borderId="12" xfId="2" applyFont="1" applyFill="1" applyBorder="1"/>
    <xf numFmtId="0" fontId="2" fillId="0" borderId="23" xfId="2" applyFont="1" applyFill="1" applyBorder="1"/>
    <xf numFmtId="0" fontId="15" fillId="0" borderId="12" xfId="2" applyFont="1" applyBorder="1"/>
    <xf numFmtId="0" fontId="5" fillId="0" borderId="13" xfId="2" applyFont="1" applyBorder="1"/>
    <xf numFmtId="0" fontId="11" fillId="0" borderId="22" xfId="2" applyFont="1" applyBorder="1"/>
    <xf numFmtId="0" fontId="40" fillId="0" borderId="0" xfId="2" applyFont="1" applyFill="1" applyBorder="1"/>
    <xf numFmtId="0" fontId="22" fillId="0" borderId="33" xfId="2" applyFont="1" applyFill="1" applyBorder="1" applyAlignment="1">
      <alignment horizontal="left" vertical="center"/>
    </xf>
    <xf numFmtId="0" fontId="2" fillId="0" borderId="32" xfId="2" applyFont="1" applyFill="1" applyBorder="1"/>
    <xf numFmtId="0" fontId="2" fillId="0" borderId="3" xfId="2" applyFont="1" applyBorder="1"/>
    <xf numFmtId="0" fontId="11" fillId="0" borderId="4" xfId="2" applyFont="1" applyFill="1" applyBorder="1"/>
    <xf numFmtId="0" fontId="38" fillId="0" borderId="4" xfId="2" applyFont="1" applyFill="1" applyBorder="1"/>
    <xf numFmtId="0" fontId="47" fillId="0" borderId="0" xfId="2" applyFont="1" applyFill="1" applyBorder="1" applyAlignment="1">
      <alignment vertical="center" wrapText="1"/>
    </xf>
    <xf numFmtId="0" fontId="40" fillId="0" borderId="0" xfId="2" applyFont="1" applyFill="1" applyBorder="1" applyAlignment="1">
      <alignment vertical="center" wrapText="1"/>
    </xf>
    <xf numFmtId="22" fontId="40" fillId="0" borderId="0" xfId="2" applyNumberFormat="1" applyFont="1" applyFill="1" applyBorder="1" applyAlignment="1">
      <alignment vertical="center" wrapText="1"/>
    </xf>
    <xf numFmtId="0" fontId="17" fillId="0" borderId="33" xfId="2" applyFont="1" applyBorder="1"/>
    <xf numFmtId="0" fontId="2" fillId="0" borderId="24" xfId="2" applyFont="1" applyFill="1" applyBorder="1"/>
    <xf numFmtId="0" fontId="27" fillId="0" borderId="24" xfId="2" applyFont="1" applyFill="1" applyBorder="1"/>
    <xf numFmtId="0" fontId="8" fillId="0" borderId="17" xfId="2" applyFont="1" applyFill="1" applyBorder="1"/>
    <xf numFmtId="0" fontId="15" fillId="0" borderId="17" xfId="2" applyFont="1" applyBorder="1"/>
    <xf numFmtId="0" fontId="13" fillId="0" borderId="17" xfId="2" applyFont="1" applyFill="1" applyBorder="1"/>
    <xf numFmtId="0" fontId="12" fillId="0" borderId="17" xfId="2" applyFont="1" applyFill="1" applyBorder="1"/>
    <xf numFmtId="0" fontId="26" fillId="0" borderId="33" xfId="2" applyFont="1" applyFill="1" applyBorder="1"/>
    <xf numFmtId="0" fontId="26" fillId="0" borderId="26" xfId="2" applyFont="1" applyFill="1" applyBorder="1"/>
    <xf numFmtId="0" fontId="32" fillId="0" borderId="25" xfId="2" applyFont="1" applyFill="1" applyBorder="1"/>
    <xf numFmtId="0" fontId="33" fillId="0" borderId="23" xfId="2" applyFont="1" applyFill="1" applyBorder="1"/>
    <xf numFmtId="0" fontId="12" fillId="0" borderId="12" xfId="2" applyFont="1" applyFill="1" applyBorder="1"/>
    <xf numFmtId="0" fontId="15" fillId="0" borderId="13" xfId="2" applyFont="1" applyBorder="1"/>
    <xf numFmtId="0" fontId="34" fillId="0" borderId="33" xfId="2" applyFont="1" applyFill="1" applyBorder="1"/>
    <xf numFmtId="0" fontId="35" fillId="0" borderId="26" xfId="2" applyFont="1" applyFill="1" applyBorder="1"/>
    <xf numFmtId="0" fontId="10" fillId="0" borderId="33" xfId="2" applyFont="1" applyBorder="1"/>
    <xf numFmtId="0" fontId="19" fillId="0" borderId="32" xfId="2" applyFont="1" applyFill="1" applyBorder="1" applyAlignment="1">
      <alignment vertical="center"/>
    </xf>
    <xf numFmtId="0" fontId="35" fillId="0" borderId="33" xfId="2" applyFont="1" applyFill="1" applyBorder="1"/>
    <xf numFmtId="0" fontId="11" fillId="0" borderId="24" xfId="2" applyFont="1" applyFill="1" applyBorder="1"/>
    <xf numFmtId="0" fontId="48" fillId="0" borderId="17" xfId="2" applyFont="1" applyFill="1" applyBorder="1"/>
    <xf numFmtId="0" fontId="18" fillId="0" borderId="27" xfId="2" applyFont="1" applyFill="1" applyBorder="1"/>
    <xf numFmtId="0" fontId="11" fillId="0" borderId="18" xfId="2" applyFont="1" applyFill="1" applyBorder="1"/>
    <xf numFmtId="0" fontId="11" fillId="0" borderId="20" xfId="2" applyFont="1" applyFill="1" applyBorder="1"/>
    <xf numFmtId="0" fontId="5" fillId="0" borderId="23" xfId="2" applyFont="1" applyFill="1" applyBorder="1"/>
    <xf numFmtId="0" fontId="5" fillId="0" borderId="32" xfId="2" applyFont="1" applyFill="1" applyBorder="1"/>
    <xf numFmtId="0" fontId="12" fillId="0" borderId="33" xfId="2" applyFont="1" applyFill="1" applyBorder="1"/>
    <xf numFmtId="0" fontId="5" fillId="0" borderId="3" xfId="2" applyFont="1" applyFill="1" applyBorder="1"/>
    <xf numFmtId="17" fontId="11" fillId="0" borderId="32" xfId="2" applyNumberFormat="1" applyFont="1" applyFill="1" applyBorder="1"/>
    <xf numFmtId="0" fontId="2" fillId="0" borderId="16" xfId="2" applyFont="1" applyFill="1" applyBorder="1"/>
    <xf numFmtId="0" fontId="41" fillId="0" borderId="0" xfId="2" applyFont="1" applyFill="1" applyBorder="1"/>
    <xf numFmtId="0" fontId="42" fillId="0" borderId="0" xfId="2" applyFont="1" applyFill="1" applyBorder="1"/>
    <xf numFmtId="0" fontId="42" fillId="0" borderId="0" xfId="2" applyFont="1" applyFill="1"/>
    <xf numFmtId="0" fontId="2" fillId="0" borderId="32" xfId="2" applyFont="1" applyBorder="1"/>
    <xf numFmtId="0" fontId="33" fillId="0" borderId="0" xfId="2" applyFont="1" applyFill="1" applyBorder="1"/>
    <xf numFmtId="0" fontId="26" fillId="0" borderId="17" xfId="2" applyFont="1" applyFill="1" applyBorder="1"/>
    <xf numFmtId="0" fontId="11" fillId="0" borderId="27" xfId="2" applyFont="1" applyFill="1" applyBorder="1"/>
    <xf numFmtId="0" fontId="8" fillId="0" borderId="23" xfId="2" applyFont="1" applyFill="1" applyBorder="1"/>
    <xf numFmtId="0" fontId="9" fillId="0" borderId="12" xfId="2" applyFont="1" applyFill="1" applyBorder="1" applyAlignment="1">
      <alignment horizontal="center"/>
    </xf>
    <xf numFmtId="0" fontId="18" fillId="0" borderId="12" xfId="2" applyFont="1" applyBorder="1"/>
    <xf numFmtId="0" fontId="7" fillId="0" borderId="33" xfId="2" applyFont="1" applyFill="1" applyBorder="1"/>
    <xf numFmtId="0" fontId="3" fillId="0" borderId="33" xfId="2" applyFont="1" applyFill="1" applyBorder="1"/>
    <xf numFmtId="0" fontId="8" fillId="0" borderId="3" xfId="2" applyFont="1" applyBorder="1"/>
    <xf numFmtId="0" fontId="8" fillId="0" borderId="32" xfId="2" applyFont="1" applyBorder="1"/>
    <xf numFmtId="0" fontId="28" fillId="0" borderId="3" xfId="2" applyFont="1" applyFill="1" applyBorder="1"/>
    <xf numFmtId="0" fontId="8" fillId="0" borderId="4" xfId="2" applyFont="1" applyBorder="1"/>
    <xf numFmtId="0" fontId="8" fillId="0" borderId="18" xfId="2" applyFont="1" applyFill="1" applyBorder="1"/>
    <xf numFmtId="0" fontId="8" fillId="0" borderId="19" xfId="2" applyFont="1" applyFill="1" applyBorder="1"/>
    <xf numFmtId="0" fontId="25" fillId="0" borderId="12" xfId="2" applyFont="1" applyFill="1" applyBorder="1"/>
    <xf numFmtId="0" fontId="18" fillId="0" borderId="23" xfId="2" applyFont="1" applyFill="1" applyBorder="1"/>
    <xf numFmtId="0" fontId="8" fillId="0" borderId="13" xfId="2" applyFont="1" applyBorder="1"/>
    <xf numFmtId="0" fontId="11" fillId="0" borderId="26" xfId="2" applyFont="1" applyBorder="1"/>
    <xf numFmtId="0" fontId="7" fillId="0" borderId="33" xfId="2" applyFont="1" applyBorder="1"/>
    <xf numFmtId="0" fontId="16" fillId="0" borderId="0" xfId="2" applyFont="1"/>
    <xf numFmtId="0" fontId="18" fillId="0" borderId="4" xfId="2" applyFont="1" applyBorder="1"/>
    <xf numFmtId="0" fontId="18" fillId="0" borderId="27" xfId="2" applyFont="1" applyBorder="1"/>
    <xf numFmtId="0" fontId="18" fillId="0" borderId="24" xfId="2" applyFont="1" applyFill="1" applyBorder="1"/>
    <xf numFmtId="0" fontId="7" fillId="0" borderId="17" xfId="2" applyFont="1" applyBorder="1"/>
    <xf numFmtId="0" fontId="8" fillId="0" borderId="11" xfId="2" applyFont="1" applyBorder="1"/>
    <xf numFmtId="0" fontId="8" fillId="0" borderId="11" xfId="2" applyFont="1" applyFill="1" applyBorder="1" applyAlignment="1">
      <alignment horizontal="center"/>
    </xf>
    <xf numFmtId="0" fontId="3" fillId="0" borderId="11" xfId="2" applyFont="1" applyFill="1" applyBorder="1" applyAlignment="1">
      <alignment horizontal="center" vertical="center" wrapText="1"/>
    </xf>
    <xf numFmtId="0" fontId="11" fillId="8" borderId="33" xfId="2" applyFont="1" applyFill="1" applyBorder="1" applyAlignment="1">
      <alignment horizontal="center"/>
    </xf>
    <xf numFmtId="0" fontId="11" fillId="8" borderId="8" xfId="2" applyFont="1" applyFill="1" applyBorder="1" applyAlignment="1"/>
    <xf numFmtId="0" fontId="11" fillId="8" borderId="32" xfId="2" applyFont="1" applyFill="1" applyBorder="1" applyAlignment="1"/>
    <xf numFmtId="0" fontId="8" fillId="0" borderId="33" xfId="2" applyFont="1" applyFill="1" applyBorder="1" applyAlignment="1">
      <alignment horizontal="center"/>
    </xf>
    <xf numFmtId="0" fontId="8" fillId="0" borderId="0" xfId="2" applyFont="1"/>
    <xf numFmtId="0" fontId="3" fillId="6" borderId="1" xfId="0" applyFont="1" applyFill="1" applyBorder="1" applyAlignment="1">
      <alignment horizontal="center"/>
    </xf>
    <xf numFmtId="0" fontId="0" fillId="10" borderId="37" xfId="0" applyFill="1" applyBorder="1"/>
    <xf numFmtId="0" fontId="0" fillId="0" borderId="37" xfId="0" applyBorder="1"/>
    <xf numFmtId="0" fontId="0" fillId="0" borderId="37" xfId="0" applyBorder="1" applyAlignment="1">
      <alignment horizontal="left"/>
    </xf>
    <xf numFmtId="0" fontId="52" fillId="13" borderId="0" xfId="0" applyFont="1" applyFill="1" applyAlignment="1">
      <alignment horizontal="left" wrapText="1"/>
    </xf>
    <xf numFmtId="0" fontId="0" fillId="10" borderId="37" xfId="0" applyFill="1" applyBorder="1" applyAlignment="1">
      <alignment horizontal="left"/>
    </xf>
    <xf numFmtId="0" fontId="52" fillId="13" borderId="0" xfId="0" applyFont="1" applyFill="1" applyAlignment="1">
      <alignment horizontal="left" wrapText="1"/>
    </xf>
    <xf numFmtId="0" fontId="6" fillId="0" borderId="37" xfId="2" applyBorder="1"/>
    <xf numFmtId="0" fontId="8" fillId="9" borderId="3" xfId="0" applyFont="1" applyFill="1" applyBorder="1" applyAlignment="1">
      <alignment horizontal="center"/>
    </xf>
    <xf numFmtId="0" fontId="0" fillId="9" borderId="0" xfId="0" applyFill="1"/>
    <xf numFmtId="0" fontId="11" fillId="0" borderId="37" xfId="0" applyFont="1" applyBorder="1"/>
    <xf numFmtId="0" fontId="2" fillId="0" borderId="37" xfId="0" applyFont="1" applyBorder="1"/>
    <xf numFmtId="16" fontId="5" fillId="0" borderId="37" xfId="0" quotePrefix="1" applyNumberFormat="1" applyFont="1" applyBorder="1"/>
    <xf numFmtId="0" fontId="5" fillId="0" borderId="37" xfId="0" applyFont="1" applyBorder="1"/>
    <xf numFmtId="0" fontId="11" fillId="0" borderId="11" xfId="0" applyFont="1" applyBorder="1"/>
    <xf numFmtId="0" fontId="2" fillId="0" borderId="11" xfId="0" applyFont="1" applyBorder="1"/>
    <xf numFmtId="0" fontId="0" fillId="10" borderId="38" xfId="0" applyFill="1" applyBorder="1"/>
    <xf numFmtId="0" fontId="0" fillId="10" borderId="38" xfId="0" applyFill="1" applyBorder="1" applyAlignment="1">
      <alignment horizontal="left"/>
    </xf>
    <xf numFmtId="0" fontId="0" fillId="10" borderId="38" xfId="0" applyFill="1" applyBorder="1" applyAlignment="1">
      <alignment horizontal="left"/>
    </xf>
    <xf numFmtId="0" fontId="11" fillId="8" borderId="31" xfId="2" applyFont="1" applyFill="1" applyBorder="1" applyAlignment="1">
      <alignment horizontal="left"/>
    </xf>
    <xf numFmtId="0" fontId="11" fillId="8" borderId="8" xfId="2" applyFont="1" applyFill="1" applyBorder="1" applyAlignment="1">
      <alignment horizontal="left"/>
    </xf>
    <xf numFmtId="0" fontId="11" fillId="8" borderId="31" xfId="2" applyFont="1" applyFill="1" applyBorder="1" applyAlignment="1">
      <alignment horizontal="center"/>
    </xf>
    <xf numFmtId="0" fontId="11" fillId="8" borderId="8" xfId="2" applyFont="1" applyFill="1" applyBorder="1" applyAlignment="1">
      <alignment horizontal="center"/>
    </xf>
    <xf numFmtId="0" fontId="11" fillId="8" borderId="32" xfId="2" applyFont="1" applyFill="1" applyBorder="1" applyAlignment="1">
      <alignment horizontal="center"/>
    </xf>
    <xf numFmtId="22" fontId="11" fillId="8" borderId="31" xfId="2" applyNumberFormat="1" applyFont="1" applyFill="1" applyBorder="1" applyAlignment="1">
      <alignment horizontal="left"/>
    </xf>
    <xf numFmtId="22" fontId="11" fillId="8" borderId="8" xfId="2" applyNumberFormat="1" applyFont="1" applyFill="1" applyBorder="1" applyAlignment="1">
      <alignment horizontal="left"/>
    </xf>
    <xf numFmtId="0" fontId="51" fillId="13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14" fontId="0" fillId="10" borderId="38" xfId="0" applyNumberFormat="1" applyFill="1" applyBorder="1" applyAlignment="1">
      <alignment horizontal="left"/>
    </xf>
    <xf numFmtId="0" fontId="50" fillId="0" borderId="29" xfId="2" applyFont="1" applyBorder="1" applyAlignment="1">
      <alignment horizontal="center"/>
    </xf>
    <xf numFmtId="0" fontId="50" fillId="0" borderId="30" xfId="2" applyFont="1" applyBorder="1" applyAlignment="1">
      <alignment horizontal="center"/>
    </xf>
    <xf numFmtId="0" fontId="50" fillId="0" borderId="15" xfId="2" applyFont="1" applyBorder="1" applyAlignment="1">
      <alignment horizontal="center"/>
    </xf>
    <xf numFmtId="0" fontId="50" fillId="0" borderId="20" xfId="2" applyFont="1" applyBorder="1" applyAlignment="1">
      <alignment horizontal="center"/>
    </xf>
    <xf numFmtId="0" fontId="50" fillId="0" borderId="14" xfId="2" applyFont="1" applyBorder="1" applyAlignment="1">
      <alignment horizontal="center"/>
    </xf>
    <xf numFmtId="0" fontId="50" fillId="0" borderId="21" xfId="2" applyFont="1" applyBorder="1" applyAlignment="1">
      <alignment horizontal="center"/>
    </xf>
    <xf numFmtId="0" fontId="9" fillId="5" borderId="12" xfId="2" applyFont="1" applyFill="1" applyBorder="1" applyAlignment="1">
      <alignment horizontal="center" vertical="center" wrapText="1"/>
    </xf>
    <xf numFmtId="0" fontId="9" fillId="5" borderId="33" xfId="2" applyFont="1" applyFill="1" applyBorder="1" applyAlignment="1">
      <alignment horizontal="center" vertical="center" wrapText="1"/>
    </xf>
    <xf numFmtId="0" fontId="9" fillId="5" borderId="17" xfId="2" applyFont="1" applyFill="1" applyBorder="1" applyAlignment="1">
      <alignment horizontal="center" vertical="center" wrapText="1"/>
    </xf>
    <xf numFmtId="0" fontId="3" fillId="0" borderId="12" xfId="2" applyFont="1" applyFill="1" applyBorder="1" applyAlignment="1">
      <alignment horizontal="center" vertical="center" wrapText="1"/>
    </xf>
    <xf numFmtId="0" fontId="3" fillId="0" borderId="33" xfId="2" applyFont="1" applyFill="1" applyBorder="1" applyAlignment="1">
      <alignment horizontal="center" vertical="center" wrapText="1"/>
    </xf>
    <xf numFmtId="0" fontId="3" fillId="0" borderId="17" xfId="2" applyFont="1" applyFill="1" applyBorder="1" applyAlignment="1">
      <alignment horizontal="center" vertical="center" wrapText="1"/>
    </xf>
    <xf numFmtId="0" fontId="2" fillId="5" borderId="12" xfId="2" applyFont="1" applyFill="1" applyBorder="1" applyAlignment="1">
      <alignment horizontal="center" vertical="center" wrapText="1"/>
    </xf>
    <xf numFmtId="0" fontId="2" fillId="5" borderId="33" xfId="2" applyFont="1" applyFill="1" applyBorder="1" applyAlignment="1">
      <alignment horizontal="center" vertical="center" wrapText="1"/>
    </xf>
    <xf numFmtId="0" fontId="2" fillId="5" borderId="17" xfId="2" applyFont="1" applyFill="1" applyBorder="1" applyAlignment="1">
      <alignment horizontal="center" vertical="center" wrapText="1"/>
    </xf>
    <xf numFmtId="0" fontId="2" fillId="5" borderId="12" xfId="2" applyFont="1" applyFill="1" applyBorder="1" applyAlignment="1">
      <alignment horizontal="center" vertical="center"/>
    </xf>
    <xf numFmtId="0" fontId="2" fillId="5" borderId="33" xfId="2" applyFont="1" applyFill="1" applyBorder="1" applyAlignment="1">
      <alignment horizontal="center" vertical="center"/>
    </xf>
    <xf numFmtId="0" fontId="2" fillId="5" borderId="17" xfId="2" applyFont="1" applyFill="1" applyBorder="1" applyAlignment="1">
      <alignment horizontal="center" vertical="center"/>
    </xf>
    <xf numFmtId="0" fontId="52" fillId="13" borderId="0" xfId="0" applyFont="1" applyFill="1" applyAlignment="1">
      <alignment horizontal="left" wrapText="1"/>
    </xf>
    <xf numFmtId="0" fontId="9" fillId="5" borderId="12" xfId="0" applyFont="1" applyFill="1" applyBorder="1" applyAlignment="1">
      <alignment horizontal="center" vertical="center" wrapText="1"/>
    </xf>
    <xf numFmtId="0" fontId="9" fillId="5" borderId="10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50" fillId="14" borderId="29" xfId="0" applyFont="1" applyFill="1" applyBorder="1" applyAlignment="1">
      <alignment horizontal="center"/>
    </xf>
    <xf numFmtId="0" fontId="50" fillId="14" borderId="14" xfId="0" applyFont="1" applyFill="1" applyBorder="1" applyAlignment="1">
      <alignment horizontal="center"/>
    </xf>
    <xf numFmtId="0" fontId="50" fillId="14" borderId="15" xfId="0" applyFont="1" applyFill="1" applyBorder="1" applyAlignment="1">
      <alignment horizontal="center"/>
    </xf>
    <xf numFmtId="0" fontId="50" fillId="14" borderId="30" xfId="0" applyFont="1" applyFill="1" applyBorder="1" applyAlignment="1">
      <alignment horizontal="center"/>
    </xf>
    <xf numFmtId="0" fontId="50" fillId="14" borderId="21" xfId="0" applyFont="1" applyFill="1" applyBorder="1" applyAlignment="1">
      <alignment horizontal="center"/>
    </xf>
    <xf numFmtId="0" fontId="50" fillId="14" borderId="20" xfId="0" applyFont="1" applyFill="1" applyBorder="1" applyAlignment="1">
      <alignment horizontal="center"/>
    </xf>
    <xf numFmtId="0" fontId="50" fillId="0" borderId="29" xfId="0" applyFont="1" applyBorder="1" applyAlignment="1">
      <alignment horizontal="center"/>
    </xf>
    <xf numFmtId="0" fontId="50" fillId="0" borderId="30" xfId="0" applyFont="1" applyBorder="1" applyAlignment="1">
      <alignment horizontal="center"/>
    </xf>
    <xf numFmtId="0" fontId="50" fillId="0" borderId="34" xfId="0" applyFont="1" applyBorder="1" applyAlignment="1">
      <alignment horizontal="left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left"/>
    </xf>
    <xf numFmtId="14" fontId="0" fillId="0" borderId="37" xfId="0" applyNumberFormat="1" applyBorder="1" applyAlignment="1">
      <alignment horizontal="left"/>
    </xf>
    <xf numFmtId="0" fontId="0" fillId="10" borderId="37" xfId="0" applyFill="1" applyBorder="1" applyAlignment="1">
      <alignment horizontal="left"/>
    </xf>
    <xf numFmtId="14" fontId="0" fillId="10" borderId="37" xfId="0" applyNumberFormat="1" applyFill="1" applyBorder="1" applyAlignment="1">
      <alignment horizontal="left"/>
    </xf>
    <xf numFmtId="0" fontId="3" fillId="6" borderId="1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</cellXfs>
  <cellStyles count="5">
    <cellStyle name="Hyperlink" xfId="1" builtinId="8"/>
    <cellStyle name="Normal" xfId="0" builtinId="0"/>
    <cellStyle name="Normal 2" xfId="2"/>
    <cellStyle name="Normal 3" xfId="3"/>
    <cellStyle name="Normal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3" dropStyle="combo" dx="16" noThreeD="1" sel="0" val="0">
  <itemLst>
    <item val="ALL"/>
    <item val="Vessel"/>
    <item val="Barge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13606</xdr:colOff>
      <xdr:row>0</xdr:row>
      <xdr:rowOff>149678</xdr:rowOff>
    </xdr:from>
    <xdr:to>
      <xdr:col>14</xdr:col>
      <xdr:colOff>99331</xdr:colOff>
      <xdr:row>2</xdr:row>
      <xdr:rowOff>111578</xdr:rowOff>
    </xdr:to>
    <xdr:sp macro="" textlink="">
      <xdr:nvSpPr>
        <xdr:cNvPr id="2" name="BERTH"/>
        <xdr:cNvSpPr>
          <a:spLocks noChangeArrowheads="1" noChangeShapeType="1" noTextEdit="1"/>
        </xdr:cNvSpPr>
      </xdr:nvSpPr>
      <xdr:spPr bwMode="auto">
        <a:xfrm>
          <a:off x="3890281" y="149678"/>
          <a:ext cx="2076450" cy="285750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B. 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25</xdr:col>
      <xdr:colOff>85725</xdr:colOff>
      <xdr:row>2</xdr:row>
      <xdr:rowOff>125186</xdr:rowOff>
    </xdr:to>
    <xdr:sp macro="" textlink="">
      <xdr:nvSpPr>
        <xdr:cNvPr id="3" name="BERTH2"/>
        <xdr:cNvSpPr>
          <a:spLocks noChangeArrowheads="1" noChangeShapeType="1" noTextEdit="1"/>
        </xdr:cNvSpPr>
      </xdr:nvSpPr>
      <xdr:spPr bwMode="auto">
        <a:xfrm>
          <a:off x="8153400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0/1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30</xdr:col>
      <xdr:colOff>231321</xdr:colOff>
      <xdr:row>1</xdr:row>
      <xdr:rowOff>0</xdr:rowOff>
    </xdr:from>
    <xdr:to>
      <xdr:col>35</xdr:col>
      <xdr:colOff>317046</xdr:colOff>
      <xdr:row>2</xdr:row>
      <xdr:rowOff>125186</xdr:rowOff>
    </xdr:to>
    <xdr:sp macro="" textlink="">
      <xdr:nvSpPr>
        <xdr:cNvPr id="4" name="BERTH3"/>
        <xdr:cNvSpPr>
          <a:spLocks noChangeArrowheads="1" noChangeShapeType="1" noTextEdit="1"/>
        </xdr:cNvSpPr>
      </xdr:nvSpPr>
      <xdr:spPr bwMode="auto">
        <a:xfrm>
          <a:off x="12309021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0</xdr:row>
          <xdr:rowOff>66675</xdr:rowOff>
        </xdr:from>
        <xdr:to>
          <xdr:col>39</xdr:col>
          <xdr:colOff>28575</xdr:colOff>
          <xdr:row>2</xdr:row>
          <xdr:rowOff>95250</xdr:rowOff>
        </xdr:to>
        <xdr:sp macro="" textlink="">
          <xdr:nvSpPr>
            <xdr:cNvPr id="1159169" name="Button 1" hidden="1">
              <a:extLst>
                <a:ext uri="{63B3BB69-23CF-44E3-9099-C40C66FF867C}">
                  <a14:compatExt spid="_x0000_s1159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57150</xdr:rowOff>
        </xdr:from>
        <xdr:to>
          <xdr:col>41</xdr:col>
          <xdr:colOff>219075</xdr:colOff>
          <xdr:row>2</xdr:row>
          <xdr:rowOff>95250</xdr:rowOff>
        </xdr:to>
        <xdr:sp macro="" textlink="">
          <xdr:nvSpPr>
            <xdr:cNvPr id="1159170" name="Button 2" hidden="1">
              <a:extLst>
                <a:ext uri="{63B3BB69-23CF-44E3-9099-C40C66FF867C}">
                  <a14:compatExt spid="_x0000_s1159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257175</xdr:colOff>
          <xdr:row>0</xdr:row>
          <xdr:rowOff>57150</xdr:rowOff>
        </xdr:from>
        <xdr:to>
          <xdr:col>43</xdr:col>
          <xdr:colOff>361950</xdr:colOff>
          <xdr:row>2</xdr:row>
          <xdr:rowOff>95250</xdr:rowOff>
        </xdr:to>
        <xdr:sp macro="" textlink="">
          <xdr:nvSpPr>
            <xdr:cNvPr id="1159171" name="Button 3" hidden="1">
              <a:extLst>
                <a:ext uri="{63B3BB69-23CF-44E3-9099-C40C66FF867C}">
                  <a14:compatExt spid="_x0000_s1159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323850</xdr:colOff>
          <xdr:row>50</xdr:row>
          <xdr:rowOff>28575</xdr:rowOff>
        </xdr:from>
        <xdr:to>
          <xdr:col>43</xdr:col>
          <xdr:colOff>381000</xdr:colOff>
          <xdr:row>50</xdr:row>
          <xdr:rowOff>323850</xdr:rowOff>
        </xdr:to>
        <xdr:sp macro="" textlink="">
          <xdr:nvSpPr>
            <xdr:cNvPr id="1159172" name="DropDownType" hidden="1">
              <a:extLst>
                <a:ext uri="{63B3BB69-23CF-44E3-9099-C40C66FF867C}">
                  <a14:compatExt spid="_x0000_s1159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16</xdr:col>
      <xdr:colOff>190500</xdr:colOff>
      <xdr:row>6</xdr:row>
      <xdr:rowOff>0</xdr:rowOff>
    </xdr:from>
    <xdr:to>
      <xdr:col>18</xdr:col>
      <xdr:colOff>83616</xdr:colOff>
      <xdr:row>7</xdr:row>
      <xdr:rowOff>63846</xdr:rowOff>
    </xdr:to>
    <xdr:sp macro="" textlink="">
      <xdr:nvSpPr>
        <xdr:cNvPr id="6" name="TextBox 5"/>
        <xdr:cNvSpPr txBox="1"/>
      </xdr:nvSpPr>
      <xdr:spPr>
        <a:xfrm>
          <a:off x="6819900" y="1228725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400" b="1"/>
            <a:t> 231M</a:t>
          </a:r>
        </a:p>
      </xdr:txBody>
    </xdr:sp>
    <xdr:clientData/>
  </xdr:twoCellAnchor>
  <xdr:twoCellAnchor>
    <xdr:from>
      <xdr:col>6</xdr:col>
      <xdr:colOff>212725</xdr:colOff>
      <xdr:row>6</xdr:row>
      <xdr:rowOff>0</xdr:rowOff>
    </xdr:from>
    <xdr:to>
      <xdr:col>8</xdr:col>
      <xdr:colOff>105841</xdr:colOff>
      <xdr:row>7</xdr:row>
      <xdr:rowOff>63846</xdr:rowOff>
    </xdr:to>
    <xdr:sp macro="" textlink="">
      <xdr:nvSpPr>
        <xdr:cNvPr id="7" name="TextBox 6"/>
        <xdr:cNvSpPr txBox="1"/>
      </xdr:nvSpPr>
      <xdr:spPr>
        <a:xfrm>
          <a:off x="2946400" y="1228725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400" b="1"/>
            <a:t> 486M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13606</xdr:colOff>
      <xdr:row>0</xdr:row>
      <xdr:rowOff>149678</xdr:rowOff>
    </xdr:from>
    <xdr:to>
      <xdr:col>14</xdr:col>
      <xdr:colOff>99331</xdr:colOff>
      <xdr:row>2</xdr:row>
      <xdr:rowOff>111578</xdr:rowOff>
    </xdr:to>
    <xdr:sp macro="" textlink="">
      <xdr:nvSpPr>
        <xdr:cNvPr id="2" name="BERTH"/>
        <xdr:cNvSpPr>
          <a:spLocks noChangeArrowheads="1" noChangeShapeType="1" noTextEdit="1"/>
        </xdr:cNvSpPr>
      </xdr:nvSpPr>
      <xdr:spPr bwMode="auto">
        <a:xfrm>
          <a:off x="3890281" y="149678"/>
          <a:ext cx="2076450" cy="285750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B. 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25</xdr:col>
      <xdr:colOff>85725</xdr:colOff>
      <xdr:row>2</xdr:row>
      <xdr:rowOff>125186</xdr:rowOff>
    </xdr:to>
    <xdr:sp macro="" textlink="">
      <xdr:nvSpPr>
        <xdr:cNvPr id="3" name="BERTH2"/>
        <xdr:cNvSpPr>
          <a:spLocks noChangeArrowheads="1" noChangeShapeType="1" noTextEdit="1"/>
        </xdr:cNvSpPr>
      </xdr:nvSpPr>
      <xdr:spPr bwMode="auto">
        <a:xfrm>
          <a:off x="8153400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0/1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xdr:twoCellAnchor>
    <xdr:from>
      <xdr:col>30</xdr:col>
      <xdr:colOff>231321</xdr:colOff>
      <xdr:row>1</xdr:row>
      <xdr:rowOff>0</xdr:rowOff>
    </xdr:from>
    <xdr:to>
      <xdr:col>35</xdr:col>
      <xdr:colOff>317046</xdr:colOff>
      <xdr:row>2</xdr:row>
      <xdr:rowOff>125186</xdr:rowOff>
    </xdr:to>
    <xdr:sp macro="" textlink="">
      <xdr:nvSpPr>
        <xdr:cNvPr id="4" name="BERTH3"/>
        <xdr:cNvSpPr>
          <a:spLocks noChangeArrowheads="1" noChangeShapeType="1" noTextEdit="1"/>
        </xdr:cNvSpPr>
      </xdr:nvSpPr>
      <xdr:spPr bwMode="auto">
        <a:xfrm>
          <a:off x="12309021" y="161925"/>
          <a:ext cx="1990725" cy="287111"/>
        </a:xfrm>
        <a:prstGeom prst="rect">
          <a:avLst/>
        </a:prstGeom>
        <a:extLst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>
                <a:noFill/>
              </a:ln>
              <a:solidFill>
                <a:sysClr val="windowText" lastClr="000000"/>
              </a:solidFill>
              <a:effectLst>
                <a:outerShdw dist="45791" dir="2021404" algn="ctr" rotWithShape="0">
                  <a:srgbClr val="B2B2B2">
                    <a:alpha val="80000"/>
                  </a:srgbClr>
                </a:outerShdw>
              </a:effectLst>
              <a:latin typeface="Times New Roman"/>
              <a:cs typeface="Times New Roman"/>
            </a:rPr>
            <a:t>A. 0</a:t>
          </a:r>
          <a:endParaRPr lang="th-TH" sz="3600" kern="10" spc="0">
            <a:ln>
              <a:noFill/>
            </a:ln>
            <a:solidFill>
              <a:sysClr val="windowText" lastClr="000000"/>
            </a:solidFill>
            <a:effectLst>
              <a:outerShdw dist="45791" dir="2021404" algn="ctr" rotWithShape="0">
                <a:srgbClr val="B2B2B2">
                  <a:alpha val="80000"/>
                </a:srgbClr>
              </a:outerShdw>
            </a:effectLst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0</xdr:row>
          <xdr:rowOff>66675</xdr:rowOff>
        </xdr:from>
        <xdr:to>
          <xdr:col>39</xdr:col>
          <xdr:colOff>28575</xdr:colOff>
          <xdr:row>2</xdr:row>
          <xdr:rowOff>95250</xdr:rowOff>
        </xdr:to>
        <xdr:sp macro="" textlink="">
          <xdr:nvSpPr>
            <xdr:cNvPr id="1154049" name="Button 1" hidden="1">
              <a:extLst>
                <a:ext uri="{63B3BB69-23CF-44E3-9099-C40C66FF867C}">
                  <a14:compatExt spid="_x0000_s1154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57150</xdr:rowOff>
        </xdr:from>
        <xdr:to>
          <xdr:col>41</xdr:col>
          <xdr:colOff>219075</xdr:colOff>
          <xdr:row>2</xdr:row>
          <xdr:rowOff>95250</xdr:rowOff>
        </xdr:to>
        <xdr:sp macro="" textlink="">
          <xdr:nvSpPr>
            <xdr:cNvPr id="1154050" name="Button 2" hidden="1">
              <a:extLst>
                <a:ext uri="{63B3BB69-23CF-44E3-9099-C40C66FF867C}">
                  <a14:compatExt spid="_x0000_s1154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257175</xdr:colOff>
          <xdr:row>0</xdr:row>
          <xdr:rowOff>57150</xdr:rowOff>
        </xdr:from>
        <xdr:to>
          <xdr:col>43</xdr:col>
          <xdr:colOff>361950</xdr:colOff>
          <xdr:row>2</xdr:row>
          <xdr:rowOff>95250</xdr:rowOff>
        </xdr:to>
        <xdr:sp macro="" textlink="">
          <xdr:nvSpPr>
            <xdr:cNvPr id="1154051" name="Button 3" hidden="1">
              <a:extLst>
                <a:ext uri="{63B3BB69-23CF-44E3-9099-C40C66FF867C}">
                  <a14:compatExt spid="_x0000_s1154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color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211364</xdr:colOff>
      <xdr:row>10</xdr:row>
      <xdr:rowOff>80963</xdr:rowOff>
    </xdr:from>
    <xdr:to>
      <xdr:col>18</xdr:col>
      <xdr:colOff>66221</xdr:colOff>
      <xdr:row>21</xdr:row>
      <xdr:rowOff>226559</xdr:rowOff>
    </xdr:to>
    <xdr:sp macro="" textlink="">
      <xdr:nvSpPr>
        <xdr:cNvPr id="7" name="maersk-euphrates"/>
        <xdr:cNvSpPr/>
      </xdr:nvSpPr>
      <xdr:spPr bwMode="auto">
        <a:xfrm>
          <a:off x="2946400" y="2462213"/>
          <a:ext cx="4508500" cy="3343275"/>
        </a:xfrm>
        <a:prstGeom prst="homePlate">
          <a:avLst/>
        </a:prstGeom>
        <a:solidFill>
          <a:srgbClr val="42F9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clip" horzOverflow="clip" vert="horz" wrap="square" lIns="18288" tIns="0" rIns="0" bIns="0" numCol="1" spcCol="0" rtlCol="0" fromWordArt="0" anchor="ctr" anchorCtr="0" forceAA="0" upright="1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/>
            <a:t>MAERSK EUPHRATES</a:t>
          </a:r>
          <a:r>
            <a:rPr lang="en-US" sz="1000" b="1"/>
            <a:t>  (255M)</a:t>
          </a:r>
        </a:p>
        <a:p>
          <a:pPr algn="ctr"/>
          <a:r>
            <a:rPr lang="en-US" sz="1000" b="1"/>
            <a:t>30/07@17:00-01/08@23:00</a:t>
          </a:r>
        </a:p>
        <a:p>
          <a:pPr algn="ctr"/>
          <a:r>
            <a:rPr lang="en-US" sz="1000" b="1"/>
            <a:t>HORN</a:t>
          </a:r>
        </a:p>
        <a:p>
          <a:pPr algn="ctr"/>
          <a:r>
            <a:rPr lang="en-US" sz="1000" b="1">
              <a:solidFill>
                <a:srgbClr val="FF0000"/>
              </a:solidFill>
            </a:rPr>
            <a:t>LOAD ONLY</a:t>
          </a:r>
        </a:p>
      </xdr:txBody>
    </xdr:sp>
    <xdr:clientData/>
  </xdr:twoCellAnchor>
  <xdr:twoCellAnchor>
    <xdr:from>
      <xdr:col>16</xdr:col>
      <xdr:colOff>193221</xdr:colOff>
      <xdr:row>10</xdr:row>
      <xdr:rowOff>80963</xdr:rowOff>
    </xdr:from>
    <xdr:to>
      <xdr:col>18</xdr:col>
      <xdr:colOff>86337</xdr:colOff>
      <xdr:row>11</xdr:row>
      <xdr:rowOff>147530</xdr:rowOff>
    </xdr:to>
    <xdr:sp macro="" textlink="">
      <xdr:nvSpPr>
        <xdr:cNvPr id="9" name="TextBox 8"/>
        <xdr:cNvSpPr txBox="1"/>
      </xdr:nvSpPr>
      <xdr:spPr>
        <a:xfrm>
          <a:off x="6819900" y="2462213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400" b="1"/>
            <a:t> 231M</a:t>
          </a:r>
        </a:p>
      </xdr:txBody>
    </xdr:sp>
    <xdr:clientData/>
  </xdr:twoCellAnchor>
  <xdr:twoCellAnchor>
    <xdr:from>
      <xdr:col>6</xdr:col>
      <xdr:colOff>211364</xdr:colOff>
      <xdr:row>10</xdr:row>
      <xdr:rowOff>80963</xdr:rowOff>
    </xdr:from>
    <xdr:to>
      <xdr:col>8</xdr:col>
      <xdr:colOff>104480</xdr:colOff>
      <xdr:row>11</xdr:row>
      <xdr:rowOff>147530</xdr:rowOff>
    </xdr:to>
    <xdr:sp macro="" textlink="">
      <xdr:nvSpPr>
        <xdr:cNvPr id="10" name="TextBox 9"/>
        <xdr:cNvSpPr txBox="1"/>
      </xdr:nvSpPr>
      <xdr:spPr>
        <a:xfrm>
          <a:off x="2946400" y="2462213"/>
          <a:ext cx="655116" cy="3114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pPr algn="l"/>
          <a:r>
            <a:rPr lang="en-US" sz="1400" b="1"/>
            <a:t> 486M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CCFFFF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a:spPr>
      <a:bodyPr rot="0" spcFirstLastPara="0" vertOverflow="clip" horzOverflow="clip" vert="horz" wrap="square" lIns="18288" tIns="0" rIns="0" bIns="0" numCol="1" spcCol="0" rtlCol="0" fromWordArt="0" anchor="t" anchorCtr="0" forceAA="0" upright="1" compatLnSpc="1">
        <a:prstTxWarp prst="textNoShape">
          <a:avLst/>
        </a:prstTxWarp>
        <a:noAutofit/>
      </a:bodyPr>
      <a:lstStyle>
        <a:defPPr algn="l">
          <a:defRPr sz="1600" b="1"/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D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Q200"/>
  <sheetViews>
    <sheetView zoomScale="70" zoomScaleNormal="70" workbookViewId="0">
      <pane ySplit="6" topLeftCell="A7" activePane="bottomLeft" state="frozen"/>
      <selection pane="bottomLeft" activeCell="R23" sqref="R23"/>
    </sheetView>
  </sheetViews>
  <sheetFormatPr defaultRowHeight="12.75" x14ac:dyDescent="0.2"/>
  <cols>
    <col min="1" max="1" width="12.42578125" style="123" customWidth="1"/>
    <col min="2" max="9" width="5.7109375" style="123" customWidth="1"/>
    <col min="10" max="10" width="7" style="123" customWidth="1"/>
    <col min="11" max="26" width="5.7109375" style="123" customWidth="1"/>
    <col min="27" max="27" width="6.5703125" style="124" customWidth="1"/>
    <col min="28" max="28" width="6.5703125" style="125" customWidth="1"/>
    <col min="29" max="29" width="5.7109375" style="125" customWidth="1"/>
    <col min="30" max="43" width="5.7109375" style="123" customWidth="1"/>
    <col min="44" max="50" width="6" style="123" customWidth="1"/>
    <col min="51" max="55" width="10.28515625" style="123" customWidth="1"/>
    <col min="56" max="56" width="18.42578125" style="123" customWidth="1"/>
    <col min="57" max="58" width="19.85546875" style="123" customWidth="1"/>
    <col min="59" max="16384" width="9.140625" style="123"/>
  </cols>
  <sheetData>
    <row r="1" spans="1:69" ht="12.75" customHeight="1" x14ac:dyDescent="0.2">
      <c r="A1" s="399" t="s">
        <v>34</v>
      </c>
      <c r="B1" s="122"/>
      <c r="C1" s="399">
        <v>31</v>
      </c>
      <c r="D1" s="401"/>
      <c r="E1" s="399">
        <v>2017</v>
      </c>
      <c r="F1" s="403"/>
      <c r="G1" s="401"/>
    </row>
    <row r="2" spans="1:69" ht="12.75" customHeight="1" thickBot="1" x14ac:dyDescent="0.25">
      <c r="A2" s="400"/>
      <c r="B2" s="126"/>
      <c r="C2" s="400"/>
      <c r="D2" s="402"/>
      <c r="E2" s="400"/>
      <c r="F2" s="404"/>
      <c r="G2" s="402"/>
    </row>
    <row r="4" spans="1:69" s="136" customFormat="1" ht="19.5" customHeight="1" x14ac:dyDescent="0.2">
      <c r="A4" s="127" t="s">
        <v>18</v>
      </c>
      <c r="B4" s="16">
        <v>410</v>
      </c>
      <c r="C4" s="16">
        <v>385</v>
      </c>
      <c r="D4" s="16">
        <v>360</v>
      </c>
      <c r="E4" s="128">
        <v>360</v>
      </c>
      <c r="F4" s="128">
        <v>310</v>
      </c>
      <c r="G4" s="128">
        <v>285</v>
      </c>
      <c r="H4" s="128">
        <f>F4-50</f>
        <v>260</v>
      </c>
      <c r="I4" s="128">
        <v>235</v>
      </c>
      <c r="J4" s="128">
        <v>210</v>
      </c>
      <c r="K4" s="128">
        <v>185</v>
      </c>
      <c r="L4" s="128">
        <v>160</v>
      </c>
      <c r="M4" s="128">
        <v>135</v>
      </c>
      <c r="N4" s="128">
        <v>110</v>
      </c>
      <c r="O4" s="128">
        <v>85</v>
      </c>
      <c r="P4" s="128">
        <v>60</v>
      </c>
      <c r="Q4" s="128">
        <v>55</v>
      </c>
      <c r="R4" s="128">
        <v>50</v>
      </c>
      <c r="S4" s="128">
        <v>0</v>
      </c>
      <c r="T4" s="129">
        <v>190</v>
      </c>
      <c r="U4" s="130">
        <v>150</v>
      </c>
      <c r="V4" s="130">
        <v>125</v>
      </c>
      <c r="W4" s="130">
        <v>100</v>
      </c>
      <c r="X4" s="130">
        <v>75</v>
      </c>
      <c r="Y4" s="130">
        <v>50</v>
      </c>
      <c r="Z4" s="130">
        <v>25</v>
      </c>
      <c r="AA4" s="130">
        <v>0</v>
      </c>
      <c r="AB4" s="131" t="s">
        <v>0</v>
      </c>
      <c r="AC4" s="132" t="s">
        <v>1</v>
      </c>
      <c r="AD4" s="132" t="s">
        <v>2</v>
      </c>
      <c r="AE4" s="133">
        <v>400</v>
      </c>
      <c r="AF4" s="130">
        <v>375</v>
      </c>
      <c r="AG4" s="133">
        <v>350</v>
      </c>
      <c r="AH4" s="133">
        <v>325</v>
      </c>
      <c r="AI4" s="133">
        <v>300</v>
      </c>
      <c r="AJ4" s="133">
        <v>275</v>
      </c>
      <c r="AK4" s="133">
        <v>250</v>
      </c>
      <c r="AL4" s="133">
        <v>225</v>
      </c>
      <c r="AM4" s="133">
        <v>200</v>
      </c>
      <c r="AN4" s="133">
        <v>190</v>
      </c>
      <c r="AO4" s="133">
        <v>175</v>
      </c>
      <c r="AP4" s="133">
        <v>160</v>
      </c>
      <c r="AQ4" s="133">
        <v>150</v>
      </c>
      <c r="AR4" s="133">
        <v>125</v>
      </c>
      <c r="AS4" s="133">
        <v>100</v>
      </c>
      <c r="AT4" s="130">
        <v>75</v>
      </c>
      <c r="AU4" s="132">
        <v>50</v>
      </c>
      <c r="AV4" s="130">
        <v>0</v>
      </c>
      <c r="AW4" s="134"/>
      <c r="AX4" s="135"/>
      <c r="AY4" s="135"/>
    </row>
    <row r="5" spans="1:69" s="136" customFormat="1" ht="20.100000000000001" customHeight="1" x14ac:dyDescent="0.2">
      <c r="A5" s="127" t="s">
        <v>3</v>
      </c>
      <c r="B5" s="127">
        <v>600</v>
      </c>
      <c r="C5" s="127"/>
      <c r="D5" s="127">
        <v>550</v>
      </c>
      <c r="E5" s="128"/>
      <c r="F5" s="128">
        <v>500</v>
      </c>
      <c r="G5" s="128"/>
      <c r="H5" s="128">
        <v>450</v>
      </c>
      <c r="I5" s="128"/>
      <c r="J5" s="128">
        <v>400</v>
      </c>
      <c r="K5" s="128"/>
      <c r="L5" s="128">
        <v>350</v>
      </c>
      <c r="M5" s="128"/>
      <c r="N5" s="128">
        <v>300</v>
      </c>
      <c r="O5" s="128"/>
      <c r="P5" s="128">
        <v>250</v>
      </c>
      <c r="Q5" s="128"/>
      <c r="R5" s="128"/>
      <c r="S5" s="128">
        <v>190</v>
      </c>
      <c r="T5" s="130"/>
      <c r="U5" s="130">
        <v>150</v>
      </c>
      <c r="V5" s="130"/>
      <c r="W5" s="130">
        <v>100</v>
      </c>
      <c r="X5" s="130"/>
      <c r="Y5" s="130">
        <v>50</v>
      </c>
      <c r="Z5" s="130"/>
      <c r="AA5" s="130">
        <v>0</v>
      </c>
      <c r="AB5" s="131" t="s">
        <v>0</v>
      </c>
      <c r="AC5" s="132" t="s">
        <v>1</v>
      </c>
      <c r="AD5" s="132" t="s">
        <v>2</v>
      </c>
      <c r="AE5" s="133">
        <v>400</v>
      </c>
      <c r="AF5" s="130"/>
      <c r="AG5" s="133">
        <v>350</v>
      </c>
      <c r="AH5" s="133"/>
      <c r="AI5" s="133">
        <v>300</v>
      </c>
      <c r="AJ5" s="133"/>
      <c r="AK5" s="133">
        <v>250</v>
      </c>
      <c r="AL5" s="133"/>
      <c r="AM5" s="133">
        <v>200</v>
      </c>
      <c r="AN5" s="133"/>
      <c r="AO5" s="133">
        <v>175</v>
      </c>
      <c r="AP5" s="133"/>
      <c r="AQ5" s="133">
        <v>150</v>
      </c>
      <c r="AR5" s="133"/>
      <c r="AS5" s="133">
        <v>100</v>
      </c>
      <c r="AT5" s="130"/>
      <c r="AU5" s="132">
        <v>50</v>
      </c>
      <c r="AV5" s="130">
        <v>0</v>
      </c>
      <c r="AW5" s="137"/>
      <c r="AX5" s="135"/>
      <c r="AY5" s="135"/>
    </row>
    <row r="6" spans="1:69" s="145" customFormat="1" ht="20.100000000000001" customHeight="1" thickBot="1" x14ac:dyDescent="0.25">
      <c r="A6" s="138"/>
      <c r="B6" s="139">
        <v>591</v>
      </c>
      <c r="C6" s="140">
        <v>569</v>
      </c>
      <c r="D6" s="139">
        <v>543</v>
      </c>
      <c r="E6" s="141">
        <v>520</v>
      </c>
      <c r="F6" s="141">
        <v>496</v>
      </c>
      <c r="G6" s="141">
        <v>472</v>
      </c>
      <c r="H6" s="141">
        <v>448</v>
      </c>
      <c r="I6" s="141">
        <v>423</v>
      </c>
      <c r="J6" s="141">
        <v>400</v>
      </c>
      <c r="K6" s="141">
        <v>375</v>
      </c>
      <c r="L6" s="141">
        <v>350</v>
      </c>
      <c r="M6" s="141">
        <v>327</v>
      </c>
      <c r="N6" s="141">
        <v>303</v>
      </c>
      <c r="O6" s="141">
        <v>280</v>
      </c>
      <c r="P6" s="141">
        <v>250</v>
      </c>
      <c r="Q6" s="141">
        <v>224</v>
      </c>
      <c r="R6" s="141">
        <v>213</v>
      </c>
      <c r="S6" s="141">
        <v>190</v>
      </c>
      <c r="T6" s="141">
        <v>169</v>
      </c>
      <c r="U6" s="141">
        <v>146</v>
      </c>
      <c r="V6" s="141">
        <v>126</v>
      </c>
      <c r="W6" s="141">
        <v>104</v>
      </c>
      <c r="X6" s="141">
        <v>84</v>
      </c>
      <c r="Y6" s="141">
        <v>62</v>
      </c>
      <c r="Z6" s="141">
        <v>40</v>
      </c>
      <c r="AA6" s="141">
        <v>18</v>
      </c>
      <c r="AB6" s="141">
        <v>0</v>
      </c>
      <c r="AC6" s="142"/>
      <c r="AD6" s="143"/>
      <c r="AE6" s="141">
        <v>394</v>
      </c>
      <c r="AF6" s="141">
        <v>372</v>
      </c>
      <c r="AG6" s="141">
        <v>350</v>
      </c>
      <c r="AH6" s="141">
        <v>330</v>
      </c>
      <c r="AI6" s="141">
        <v>305</v>
      </c>
      <c r="AJ6" s="141">
        <v>285</v>
      </c>
      <c r="AK6" s="141">
        <v>265</v>
      </c>
      <c r="AL6" s="141">
        <v>240</v>
      </c>
      <c r="AM6" s="141">
        <v>220</v>
      </c>
      <c r="AN6" s="141">
        <v>198</v>
      </c>
      <c r="AO6" s="141">
        <v>175</v>
      </c>
      <c r="AP6" s="141">
        <v>153</v>
      </c>
      <c r="AQ6" s="141">
        <v>133</v>
      </c>
      <c r="AR6" s="141">
        <v>110</v>
      </c>
      <c r="AS6" s="141">
        <v>90</v>
      </c>
      <c r="AT6" s="141">
        <v>66</v>
      </c>
      <c r="AU6" s="141">
        <v>23</v>
      </c>
      <c r="AV6" s="141">
        <v>0</v>
      </c>
      <c r="AW6" s="134"/>
      <c r="AX6" s="144"/>
      <c r="AY6" s="144"/>
    </row>
    <row r="7" spans="1:69" s="168" customFormat="1" ht="20.100000000000001" customHeight="1" x14ac:dyDescent="0.35">
      <c r="A7" s="146"/>
      <c r="B7" s="147"/>
      <c r="C7" s="148"/>
      <c r="D7" s="149"/>
      <c r="E7" s="150"/>
      <c r="F7" s="151"/>
      <c r="G7" s="152"/>
      <c r="H7" s="153"/>
      <c r="I7" s="154"/>
      <c r="J7" s="153"/>
      <c r="K7" s="154"/>
      <c r="L7" s="151"/>
      <c r="M7" s="155"/>
      <c r="N7" s="152"/>
      <c r="O7" s="156"/>
      <c r="P7" s="156"/>
      <c r="Q7" s="157"/>
      <c r="R7" s="158"/>
      <c r="S7" s="159"/>
      <c r="T7" s="160"/>
      <c r="U7" s="158"/>
      <c r="V7" s="158"/>
      <c r="W7" s="158"/>
      <c r="X7" s="158"/>
      <c r="Y7" s="158"/>
      <c r="Z7" s="158"/>
      <c r="AA7" s="158"/>
      <c r="AB7" s="405" t="s">
        <v>11</v>
      </c>
      <c r="AC7" s="161">
        <v>4</v>
      </c>
      <c r="AD7" s="408">
        <v>31</v>
      </c>
      <c r="AE7" s="152"/>
      <c r="AF7" s="152"/>
      <c r="AG7" s="162"/>
      <c r="AH7" s="162"/>
      <c r="AI7" s="152"/>
      <c r="AJ7" s="152"/>
      <c r="AK7" s="152"/>
      <c r="AL7" s="152"/>
      <c r="AM7" s="154"/>
      <c r="AN7" s="152"/>
      <c r="AO7" s="152"/>
      <c r="AP7" s="152"/>
      <c r="AQ7" s="152"/>
      <c r="AR7" s="152"/>
      <c r="AS7" s="163"/>
      <c r="AT7" s="164"/>
      <c r="AU7" s="163"/>
      <c r="AV7" s="165"/>
      <c r="AW7" s="166"/>
      <c r="AX7" s="167"/>
      <c r="AY7" s="167"/>
      <c r="BB7" s="169"/>
      <c r="BC7" s="170"/>
      <c r="BD7" s="170"/>
      <c r="BE7" s="170"/>
      <c r="BF7" s="170"/>
      <c r="BG7" s="170"/>
      <c r="BH7" s="170"/>
      <c r="BI7" s="170"/>
      <c r="BJ7" s="170"/>
      <c r="BK7" s="170"/>
      <c r="BL7" s="170"/>
      <c r="BM7" s="170"/>
      <c r="BN7" s="170"/>
      <c r="BO7" s="170"/>
      <c r="BP7" s="170"/>
      <c r="BQ7" s="170"/>
    </row>
    <row r="8" spans="1:69" s="168" customFormat="1" ht="20.100000000000001" customHeight="1" x14ac:dyDescent="0.35">
      <c r="A8" s="171"/>
      <c r="B8" s="147"/>
      <c r="C8" s="147"/>
      <c r="D8" s="149"/>
      <c r="E8" s="172"/>
      <c r="F8" s="148"/>
      <c r="G8" s="173"/>
      <c r="H8" s="174"/>
      <c r="I8" s="174"/>
      <c r="J8" s="174"/>
      <c r="K8" s="174"/>
      <c r="L8" s="147"/>
      <c r="M8" s="148"/>
      <c r="N8" s="171"/>
      <c r="O8" s="175"/>
      <c r="P8" s="176"/>
      <c r="Q8" s="177"/>
      <c r="R8" s="177"/>
      <c r="S8" s="178"/>
      <c r="T8" s="179"/>
      <c r="U8" s="177"/>
      <c r="V8" s="177"/>
      <c r="W8" s="177"/>
      <c r="X8" s="177"/>
      <c r="Y8" s="177"/>
      <c r="Z8" s="177"/>
      <c r="AA8" s="177"/>
      <c r="AB8" s="406"/>
      <c r="AC8" s="180">
        <v>8</v>
      </c>
      <c r="AD8" s="409"/>
      <c r="AE8" s="181"/>
      <c r="AF8" s="171"/>
      <c r="AG8" s="181"/>
      <c r="AH8" s="171"/>
      <c r="AI8" s="182"/>
      <c r="AJ8" s="171"/>
      <c r="AK8" s="171"/>
      <c r="AL8" s="171"/>
      <c r="AM8" s="171"/>
      <c r="AN8" s="171"/>
      <c r="AO8" s="171"/>
      <c r="AP8" s="171"/>
      <c r="AQ8" s="171"/>
      <c r="AR8" s="171"/>
      <c r="AS8" s="183"/>
      <c r="AT8" s="167"/>
      <c r="AU8" s="184"/>
      <c r="AV8" s="185"/>
      <c r="AW8" s="166"/>
      <c r="AX8" s="167"/>
      <c r="AY8" s="167"/>
      <c r="BB8" s="186"/>
      <c r="BC8" s="187"/>
      <c r="BD8" s="187"/>
      <c r="BE8" s="187"/>
      <c r="BF8" s="187"/>
      <c r="BG8" s="187"/>
      <c r="BH8" s="187"/>
      <c r="BI8" s="187"/>
      <c r="BJ8" s="187"/>
      <c r="BK8" s="170"/>
      <c r="BL8" s="170"/>
      <c r="BM8" s="170"/>
      <c r="BN8" s="170"/>
      <c r="BO8" s="170"/>
      <c r="BP8" s="170"/>
      <c r="BQ8" s="170"/>
    </row>
    <row r="9" spans="1:69" s="168" customFormat="1" ht="20.100000000000001" customHeight="1" x14ac:dyDescent="0.35">
      <c r="A9" s="146"/>
      <c r="B9" s="147"/>
      <c r="C9" s="147"/>
      <c r="D9" s="188"/>
      <c r="E9" s="189"/>
      <c r="F9" s="190"/>
      <c r="G9" s="191"/>
      <c r="H9" s="192"/>
      <c r="I9" s="191"/>
      <c r="J9" s="192"/>
      <c r="K9" s="192"/>
      <c r="L9" s="191"/>
      <c r="M9" s="191"/>
      <c r="N9" s="192"/>
      <c r="O9" s="193"/>
      <c r="P9" s="194"/>
      <c r="Q9" s="177"/>
      <c r="R9" s="195"/>
      <c r="S9" s="178"/>
      <c r="T9" s="196"/>
      <c r="U9" s="177"/>
      <c r="V9" s="177"/>
      <c r="W9" s="177"/>
      <c r="X9" s="177"/>
      <c r="Y9" s="177"/>
      <c r="Z9" s="177"/>
      <c r="AA9" s="197"/>
      <c r="AB9" s="406"/>
      <c r="AC9" s="180">
        <v>12</v>
      </c>
      <c r="AD9" s="409"/>
      <c r="AE9" s="171"/>
      <c r="AF9" s="171"/>
      <c r="AG9" s="171"/>
      <c r="AH9" s="171"/>
      <c r="AI9" s="198"/>
      <c r="AJ9" s="198"/>
      <c r="AK9" s="171"/>
      <c r="AL9" s="171"/>
      <c r="AM9" s="171"/>
      <c r="AN9" s="171"/>
      <c r="AO9" s="171"/>
      <c r="AP9" s="198"/>
      <c r="AQ9" s="171"/>
      <c r="AR9" s="171"/>
      <c r="AS9" s="183"/>
      <c r="AT9" s="199"/>
      <c r="AU9" s="183"/>
      <c r="AV9" s="185"/>
      <c r="AW9" s="166"/>
      <c r="AX9" s="167"/>
      <c r="AY9" s="167"/>
      <c r="BB9" s="187"/>
      <c r="BC9" s="187"/>
      <c r="BD9" s="187"/>
      <c r="BE9" s="187"/>
      <c r="BF9" s="187"/>
      <c r="BG9" s="187"/>
      <c r="BH9" s="187"/>
      <c r="BI9" s="187"/>
      <c r="BJ9" s="187"/>
      <c r="BK9" s="170"/>
      <c r="BL9" s="170"/>
      <c r="BM9" s="170"/>
      <c r="BN9" s="170"/>
      <c r="BO9" s="170"/>
      <c r="BP9" s="170"/>
      <c r="BQ9" s="170"/>
    </row>
    <row r="10" spans="1:69" s="168" customFormat="1" ht="20.100000000000001" customHeight="1" x14ac:dyDescent="0.35">
      <c r="A10" s="171"/>
      <c r="B10" s="147"/>
      <c r="C10" s="200"/>
      <c r="D10" s="149"/>
      <c r="E10" s="172"/>
      <c r="F10" s="148"/>
      <c r="G10" s="174"/>
      <c r="H10" s="174"/>
      <c r="I10" s="174"/>
      <c r="J10" s="174"/>
      <c r="K10" s="201"/>
      <c r="L10" s="147"/>
      <c r="M10" s="148"/>
      <c r="N10" s="171"/>
      <c r="O10" s="175"/>
      <c r="P10" s="176"/>
      <c r="Q10" s="177"/>
      <c r="R10" s="177"/>
      <c r="S10" s="178"/>
      <c r="T10" s="196"/>
      <c r="U10" s="177"/>
      <c r="V10" s="177"/>
      <c r="W10" s="177"/>
      <c r="X10" s="191"/>
      <c r="Y10" s="177"/>
      <c r="Z10" s="177"/>
      <c r="AA10" s="177"/>
      <c r="AB10" s="406"/>
      <c r="AC10" s="180">
        <v>16</v>
      </c>
      <c r="AD10" s="409"/>
      <c r="AE10" s="198"/>
      <c r="AF10" s="171"/>
      <c r="AG10" s="202"/>
      <c r="AH10" s="171"/>
      <c r="AI10" s="198"/>
      <c r="AJ10" s="171"/>
      <c r="AK10" s="171"/>
      <c r="AL10" s="171"/>
      <c r="AM10" s="171"/>
      <c r="AN10" s="171"/>
      <c r="AO10" s="171"/>
      <c r="AP10" s="171"/>
      <c r="AQ10" s="171"/>
      <c r="AR10" s="171"/>
      <c r="AS10" s="183"/>
      <c r="AT10" s="199"/>
      <c r="AU10" s="203"/>
      <c r="AV10" s="185"/>
      <c r="AW10" s="167"/>
      <c r="AX10" s="167"/>
      <c r="AY10" s="167"/>
      <c r="BB10" s="186"/>
      <c r="BC10" s="187" t="s">
        <v>20</v>
      </c>
      <c r="BD10" s="187"/>
      <c r="BE10" s="187"/>
      <c r="BF10" s="187"/>
      <c r="BG10" s="204"/>
      <c r="BH10" s="204"/>
      <c r="BI10" s="204"/>
      <c r="BJ10" s="204"/>
      <c r="BK10" s="170"/>
      <c r="BL10" s="170"/>
      <c r="BM10" s="170"/>
      <c r="BN10" s="170"/>
      <c r="BO10" s="170"/>
      <c r="BP10" s="170"/>
      <c r="BQ10" s="170"/>
    </row>
    <row r="11" spans="1:69" s="168" customFormat="1" ht="20.100000000000001" customHeight="1" x14ac:dyDescent="0.3">
      <c r="A11" s="171"/>
      <c r="B11" s="200"/>
      <c r="C11" s="200"/>
      <c r="D11" s="149"/>
      <c r="E11" s="189"/>
      <c r="F11" s="205"/>
      <c r="G11" s="202"/>
      <c r="H11" s="206"/>
      <c r="I11" s="202"/>
      <c r="J11" s="206"/>
      <c r="K11" s="191"/>
      <c r="L11" s="202"/>
      <c r="M11" s="198"/>
      <c r="N11" s="207"/>
      <c r="O11" s="198"/>
      <c r="P11" s="208"/>
      <c r="Q11" s="209"/>
      <c r="R11" s="176"/>
      <c r="S11" s="210"/>
      <c r="T11" s="211"/>
      <c r="U11" s="176"/>
      <c r="V11" s="176"/>
      <c r="W11" s="198"/>
      <c r="X11" s="212"/>
      <c r="Y11" s="176"/>
      <c r="Z11" s="213"/>
      <c r="AA11" s="213"/>
      <c r="AB11" s="406"/>
      <c r="AC11" s="180">
        <v>20</v>
      </c>
      <c r="AD11" s="409"/>
      <c r="AE11" s="198"/>
      <c r="AF11" s="174"/>
      <c r="AG11" s="171"/>
      <c r="AH11" s="182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83"/>
      <c r="AT11" s="214"/>
      <c r="AU11" s="215"/>
      <c r="AV11" s="216"/>
      <c r="AW11" s="167"/>
      <c r="AX11" s="167"/>
      <c r="AY11" s="167"/>
      <c r="BB11" s="187"/>
      <c r="BC11" s="187"/>
      <c r="BD11" s="187"/>
      <c r="BE11" s="187"/>
      <c r="BF11" s="187"/>
      <c r="BG11" s="204"/>
      <c r="BH11" s="204"/>
      <c r="BI11" s="204"/>
      <c r="BJ11" s="204"/>
      <c r="BK11" s="170"/>
      <c r="BL11" s="170"/>
      <c r="BM11" s="170"/>
      <c r="BN11" s="170"/>
      <c r="BO11" s="170"/>
      <c r="BP11" s="170"/>
      <c r="BQ11" s="170"/>
    </row>
    <row r="12" spans="1:69" s="168" customFormat="1" ht="20.100000000000001" customHeight="1" thickBot="1" x14ac:dyDescent="0.4">
      <c r="A12" s="171"/>
      <c r="B12" s="147"/>
      <c r="C12" s="147"/>
      <c r="D12" s="149"/>
      <c r="E12" s="217"/>
      <c r="F12" s="218"/>
      <c r="G12" s="219"/>
      <c r="H12" s="219"/>
      <c r="I12" s="219"/>
      <c r="J12" s="219"/>
      <c r="K12" s="220"/>
      <c r="L12" s="218"/>
      <c r="M12" s="221"/>
      <c r="N12" s="221"/>
      <c r="O12" s="222"/>
      <c r="P12" s="221"/>
      <c r="Q12" s="221"/>
      <c r="R12" s="219"/>
      <c r="S12" s="223"/>
      <c r="T12" s="224"/>
      <c r="U12" s="225"/>
      <c r="V12" s="225"/>
      <c r="W12" s="225"/>
      <c r="X12" s="225"/>
      <c r="Y12" s="225"/>
      <c r="Z12" s="225"/>
      <c r="AA12" s="226"/>
      <c r="AB12" s="407"/>
      <c r="AC12" s="227">
        <v>24</v>
      </c>
      <c r="AD12" s="410"/>
      <c r="AE12" s="219"/>
      <c r="AF12" s="219"/>
      <c r="AG12" s="219"/>
      <c r="AH12" s="219"/>
      <c r="AI12" s="221"/>
      <c r="AJ12" s="219"/>
      <c r="AK12" s="219"/>
      <c r="AL12" s="219"/>
      <c r="AM12" s="219"/>
      <c r="AN12" s="220"/>
      <c r="AO12" s="219"/>
      <c r="AP12" s="219"/>
      <c r="AQ12" s="221"/>
      <c r="AR12" s="219"/>
      <c r="AS12" s="228"/>
      <c r="AT12" s="229"/>
      <c r="AU12" s="228"/>
      <c r="AV12" s="230"/>
      <c r="AW12" s="199"/>
      <c r="AX12" s="167"/>
      <c r="AY12" s="167"/>
      <c r="BB12" s="187"/>
      <c r="BC12" s="231"/>
      <c r="BD12" s="187"/>
      <c r="BE12" s="187"/>
      <c r="BF12" s="187"/>
      <c r="BG12" s="204"/>
      <c r="BH12" s="204"/>
      <c r="BI12" s="204"/>
      <c r="BJ12" s="204"/>
      <c r="BK12" s="170"/>
      <c r="BL12" s="170"/>
      <c r="BM12" s="170"/>
      <c r="BN12" s="170"/>
      <c r="BO12" s="170"/>
      <c r="BP12" s="170"/>
      <c r="BQ12" s="170"/>
    </row>
    <row r="13" spans="1:69" s="168" customFormat="1" ht="20.100000000000001" customHeight="1" x14ac:dyDescent="0.35">
      <c r="A13" s="147"/>
      <c r="B13" s="147"/>
      <c r="C13" s="147"/>
      <c r="D13" s="149"/>
      <c r="E13" s="150"/>
      <c r="F13" s="151"/>
      <c r="G13" s="162"/>
      <c r="H13" s="151"/>
      <c r="I13" s="232"/>
      <c r="J13" s="151"/>
      <c r="K13" s="233"/>
      <c r="L13" s="234"/>
      <c r="M13" s="162"/>
      <c r="N13" s="162"/>
      <c r="O13" s="234"/>
      <c r="P13" s="162"/>
      <c r="Q13" s="235"/>
      <c r="R13" s="151"/>
      <c r="S13" s="236"/>
      <c r="T13" s="237"/>
      <c r="U13" s="238"/>
      <c r="V13" s="238"/>
      <c r="W13" s="238"/>
      <c r="X13" s="157"/>
      <c r="Y13" s="238"/>
      <c r="Z13" s="239"/>
      <c r="AA13" s="158"/>
      <c r="AB13" s="411" t="s">
        <v>12</v>
      </c>
      <c r="AC13" s="161">
        <v>4</v>
      </c>
      <c r="AD13" s="408">
        <v>1</v>
      </c>
      <c r="AE13" s="151"/>
      <c r="AF13" s="151"/>
      <c r="AG13" s="151"/>
      <c r="AH13" s="240"/>
      <c r="AI13" s="151"/>
      <c r="AJ13" s="151"/>
      <c r="AK13" s="241"/>
      <c r="AL13" s="151"/>
      <c r="AM13" s="151"/>
      <c r="AN13" s="151"/>
      <c r="AO13" s="151"/>
      <c r="AP13" s="151"/>
      <c r="AQ13" s="151"/>
      <c r="AR13" s="151"/>
      <c r="AS13" s="242"/>
      <c r="AT13" s="243"/>
      <c r="AU13" s="242"/>
      <c r="AV13" s="244"/>
      <c r="AW13" s="167"/>
      <c r="AX13" s="167"/>
      <c r="AY13" s="167"/>
      <c r="BB13" s="186"/>
      <c r="BC13" s="187"/>
      <c r="BD13" s="187"/>
      <c r="BE13" s="187"/>
      <c r="BF13" s="187"/>
      <c r="BG13" s="204"/>
      <c r="BH13" s="204"/>
      <c r="BI13" s="204"/>
      <c r="BJ13" s="204"/>
      <c r="BK13" s="170"/>
      <c r="BL13" s="170"/>
      <c r="BM13" s="170"/>
      <c r="BN13" s="170"/>
      <c r="BO13" s="170"/>
      <c r="BP13" s="170"/>
      <c r="BQ13" s="170"/>
    </row>
    <row r="14" spans="1:69" s="168" customFormat="1" ht="20.100000000000001" customHeight="1" x14ac:dyDescent="0.35">
      <c r="A14" s="245"/>
      <c r="B14" s="147"/>
      <c r="C14" s="245"/>
      <c r="D14" s="246"/>
      <c r="E14" s="172"/>
      <c r="F14" s="148"/>
      <c r="G14" s="198"/>
      <c r="H14" s="198"/>
      <c r="I14" s="198"/>
      <c r="J14" s="198"/>
      <c r="K14" s="198"/>
      <c r="L14" s="247"/>
      <c r="M14" s="198"/>
      <c r="N14" s="191"/>
      <c r="O14" s="198"/>
      <c r="P14" s="248"/>
      <c r="Q14" s="198"/>
      <c r="R14" s="147"/>
      <c r="S14" s="149"/>
      <c r="T14" s="249"/>
      <c r="U14" s="207"/>
      <c r="V14" s="202"/>
      <c r="W14" s="202"/>
      <c r="X14" s="191"/>
      <c r="Y14" s="177"/>
      <c r="Z14" s="195"/>
      <c r="AA14" s="147"/>
      <c r="AB14" s="412"/>
      <c r="AC14" s="180">
        <v>8</v>
      </c>
      <c r="AD14" s="409"/>
      <c r="AE14" s="202"/>
      <c r="AF14" s="213"/>
      <c r="AG14" s="200"/>
      <c r="AH14" s="147"/>
      <c r="AI14" s="147"/>
      <c r="AJ14" s="147"/>
      <c r="AK14" s="250"/>
      <c r="AL14" s="147"/>
      <c r="AM14" s="200"/>
      <c r="AN14" s="147"/>
      <c r="AO14" s="147"/>
      <c r="AP14" s="147"/>
      <c r="AQ14" s="200"/>
      <c r="AR14" s="147"/>
      <c r="AS14" s="251"/>
      <c r="AT14" s="252"/>
      <c r="AU14" s="253"/>
      <c r="AV14" s="254"/>
      <c r="AW14" s="252"/>
      <c r="AX14" s="167"/>
      <c r="AY14" s="167"/>
      <c r="BB14" s="187"/>
      <c r="BC14" s="187"/>
      <c r="BD14" s="187"/>
      <c r="BE14" s="187"/>
      <c r="BF14" s="187"/>
      <c r="BG14" s="204"/>
      <c r="BH14" s="204"/>
      <c r="BI14" s="204"/>
      <c r="BJ14" s="204"/>
      <c r="BK14" s="170"/>
      <c r="BL14" s="170"/>
      <c r="BM14" s="170"/>
      <c r="BN14" s="170"/>
      <c r="BO14" s="170"/>
      <c r="BP14" s="170"/>
      <c r="BQ14" s="170"/>
    </row>
    <row r="15" spans="1:69" s="168" customFormat="1" ht="20.100000000000001" customHeight="1" x14ac:dyDescent="0.35">
      <c r="A15" s="245"/>
      <c r="B15" s="147"/>
      <c r="C15" s="255"/>
      <c r="D15" s="256"/>
      <c r="E15" s="189"/>
      <c r="F15" s="190"/>
      <c r="G15" s="198"/>
      <c r="H15" s="208"/>
      <c r="I15" s="198"/>
      <c r="J15" s="198"/>
      <c r="K15" s="191"/>
      <c r="L15" s="198"/>
      <c r="M15" s="257"/>
      <c r="N15" s="198"/>
      <c r="O15" s="198"/>
      <c r="P15" s="191"/>
      <c r="Q15" s="198"/>
      <c r="R15" s="147"/>
      <c r="S15" s="149"/>
      <c r="T15" s="249"/>
      <c r="U15" s="191"/>
      <c r="V15" s="202"/>
      <c r="W15" s="202"/>
      <c r="X15" s="191"/>
      <c r="Y15" s="202"/>
      <c r="Z15" s="250"/>
      <c r="AA15" s="147"/>
      <c r="AB15" s="412"/>
      <c r="AC15" s="180">
        <v>12</v>
      </c>
      <c r="AD15" s="409"/>
      <c r="AE15" s="200"/>
      <c r="AF15" s="147"/>
      <c r="AG15" s="147"/>
      <c r="AH15" s="147"/>
      <c r="AI15" s="147"/>
      <c r="AJ15" s="147"/>
      <c r="AK15" s="250"/>
      <c r="AL15" s="147"/>
      <c r="AM15" s="200"/>
      <c r="AN15" s="147"/>
      <c r="AO15" s="147"/>
      <c r="AP15" s="147"/>
      <c r="AQ15" s="200"/>
      <c r="AR15" s="147"/>
      <c r="AS15" s="251"/>
      <c r="AT15" s="252"/>
      <c r="AU15" s="258"/>
      <c r="AV15" s="254"/>
      <c r="AW15" s="167"/>
      <c r="AX15" s="167"/>
      <c r="AY15" s="167"/>
      <c r="AZ15" s="259"/>
      <c r="BB15" s="186"/>
      <c r="BC15" s="187"/>
      <c r="BD15" s="187"/>
      <c r="BE15" s="187"/>
      <c r="BF15" s="187"/>
      <c r="BG15" s="204"/>
      <c r="BH15" s="204"/>
      <c r="BI15" s="204"/>
      <c r="BJ15" s="204"/>
      <c r="BK15" s="170"/>
      <c r="BL15" s="170"/>
      <c r="BM15" s="170"/>
      <c r="BN15" s="170"/>
      <c r="BO15" s="170"/>
      <c r="BP15" s="170"/>
      <c r="BQ15" s="170"/>
    </row>
    <row r="16" spans="1:69" s="168" customFormat="1" ht="20.100000000000001" customHeight="1" x14ac:dyDescent="0.35">
      <c r="A16" s="147"/>
      <c r="B16" s="147"/>
      <c r="C16" s="147"/>
      <c r="D16" s="260"/>
      <c r="E16" s="172"/>
      <c r="F16" s="148"/>
      <c r="G16" s="261"/>
      <c r="H16" s="262"/>
      <c r="I16" s="200"/>
      <c r="J16" s="208"/>
      <c r="K16" s="198"/>
      <c r="L16" s="263"/>
      <c r="M16" s="264"/>
      <c r="N16" s="261"/>
      <c r="O16" s="198"/>
      <c r="P16" s="198"/>
      <c r="Q16" s="177"/>
      <c r="R16" s="177"/>
      <c r="S16" s="149"/>
      <c r="T16" s="179"/>
      <c r="U16" s="177"/>
      <c r="V16" s="177"/>
      <c r="W16" s="177"/>
      <c r="X16" s="177"/>
      <c r="Y16" s="261"/>
      <c r="Z16" s="177"/>
      <c r="AA16" s="177"/>
      <c r="AB16" s="412"/>
      <c r="AC16" s="180">
        <v>16</v>
      </c>
      <c r="AD16" s="409"/>
      <c r="AE16" s="177"/>
      <c r="AF16" s="177"/>
      <c r="AG16" s="261"/>
      <c r="AH16" s="177"/>
      <c r="AI16" s="200"/>
      <c r="AJ16" s="261"/>
      <c r="AK16" s="177"/>
      <c r="AL16" s="265"/>
      <c r="AM16" s="261"/>
      <c r="AN16" s="261"/>
      <c r="AO16" s="261"/>
      <c r="AP16" s="177"/>
      <c r="AQ16" s="177"/>
      <c r="AR16" s="177"/>
      <c r="AS16" s="266"/>
      <c r="AT16" s="267"/>
      <c r="AU16" s="268"/>
      <c r="AV16" s="269"/>
      <c r="AW16" s="167"/>
      <c r="AX16" s="167"/>
      <c r="AY16" s="167"/>
      <c r="BB16" s="187"/>
      <c r="BC16" s="187"/>
      <c r="BD16" s="187"/>
      <c r="BE16" s="187"/>
      <c r="BF16" s="187"/>
      <c r="BG16" s="204"/>
      <c r="BH16" s="204"/>
      <c r="BI16" s="204"/>
      <c r="BJ16" s="204"/>
      <c r="BK16" s="170"/>
      <c r="BL16" s="170"/>
      <c r="BM16" s="170"/>
      <c r="BN16" s="170"/>
      <c r="BO16" s="170"/>
      <c r="BP16" s="170"/>
      <c r="BQ16" s="170"/>
    </row>
    <row r="17" spans="1:69" s="168" customFormat="1" ht="20.100000000000001" customHeight="1" x14ac:dyDescent="0.35">
      <c r="A17" s="208"/>
      <c r="B17" s="147"/>
      <c r="C17" s="208"/>
      <c r="D17" s="149"/>
      <c r="E17" s="189"/>
      <c r="F17" s="205"/>
      <c r="G17" s="202"/>
      <c r="H17" s="200"/>
      <c r="I17" s="177"/>
      <c r="J17" s="270"/>
      <c r="K17" s="200"/>
      <c r="L17" s="245"/>
      <c r="M17" s="247"/>
      <c r="N17" s="245"/>
      <c r="O17" s="208"/>
      <c r="P17" s="200"/>
      <c r="Q17" s="177"/>
      <c r="R17" s="177"/>
      <c r="S17" s="149"/>
      <c r="T17" s="249"/>
      <c r="U17" s="200"/>
      <c r="V17" s="247"/>
      <c r="W17" s="200"/>
      <c r="X17" s="148"/>
      <c r="Y17" s="200"/>
      <c r="Z17" s="147"/>
      <c r="AA17" s="147"/>
      <c r="AB17" s="412"/>
      <c r="AC17" s="180">
        <v>20</v>
      </c>
      <c r="AD17" s="409"/>
      <c r="AE17" s="176"/>
      <c r="AF17" s="176"/>
      <c r="AG17" s="176"/>
      <c r="AH17" s="176"/>
      <c r="AI17" s="177"/>
      <c r="AJ17" s="176"/>
      <c r="AK17" s="177"/>
      <c r="AL17" s="176"/>
      <c r="AM17" s="176"/>
      <c r="AN17" s="176"/>
      <c r="AO17" s="176"/>
      <c r="AP17" s="212"/>
      <c r="AQ17" s="176"/>
      <c r="AR17" s="176"/>
      <c r="AS17" s="271"/>
      <c r="AT17" s="272"/>
      <c r="AU17" s="271"/>
      <c r="AV17" s="273"/>
      <c r="AW17" s="252"/>
      <c r="AX17" s="167"/>
      <c r="AY17" s="167"/>
      <c r="BB17" s="187"/>
      <c r="BC17" s="187"/>
      <c r="BD17" s="187"/>
      <c r="BE17" s="187"/>
      <c r="BF17" s="187"/>
      <c r="BG17" s="204"/>
      <c r="BH17" s="204"/>
      <c r="BI17" s="204"/>
      <c r="BJ17" s="204"/>
      <c r="BK17" s="170"/>
      <c r="BL17" s="170"/>
      <c r="BM17" s="170"/>
      <c r="BN17" s="170"/>
      <c r="BO17" s="170"/>
      <c r="BP17" s="170"/>
      <c r="BQ17" s="170"/>
    </row>
    <row r="18" spans="1:69" s="168" customFormat="1" ht="20.100000000000001" customHeight="1" thickBot="1" x14ac:dyDescent="0.4">
      <c r="A18" s="147"/>
      <c r="B18" s="147"/>
      <c r="C18" s="247"/>
      <c r="D18" s="149"/>
      <c r="E18" s="217"/>
      <c r="F18" s="218"/>
      <c r="G18" s="274"/>
      <c r="H18" s="275"/>
      <c r="I18" s="274"/>
      <c r="J18" s="275"/>
      <c r="K18" s="276"/>
      <c r="L18" s="277"/>
      <c r="M18" s="276"/>
      <c r="N18" s="276"/>
      <c r="O18" s="276"/>
      <c r="P18" s="221"/>
      <c r="Q18" s="219"/>
      <c r="R18" s="278"/>
      <c r="S18" s="279"/>
      <c r="T18" s="280"/>
      <c r="U18" s="281"/>
      <c r="V18" s="274"/>
      <c r="W18" s="281"/>
      <c r="X18" s="281"/>
      <c r="Y18" s="276"/>
      <c r="Z18" s="281"/>
      <c r="AA18" s="276"/>
      <c r="AB18" s="413"/>
      <c r="AC18" s="227">
        <v>24</v>
      </c>
      <c r="AD18" s="410"/>
      <c r="AE18" s="277"/>
      <c r="AF18" s="281"/>
      <c r="AG18" s="221"/>
      <c r="AH18" s="281"/>
      <c r="AI18" s="218"/>
      <c r="AJ18" s="218"/>
      <c r="AK18" s="218"/>
      <c r="AL18" s="218"/>
      <c r="AM18" s="282"/>
      <c r="AN18" s="218"/>
      <c r="AO18" s="218"/>
      <c r="AP18" s="218"/>
      <c r="AQ18" s="281"/>
      <c r="AR18" s="218"/>
      <c r="AS18" s="283"/>
      <c r="AT18" s="284"/>
      <c r="AU18" s="285"/>
      <c r="AV18" s="286"/>
      <c r="AW18" s="287"/>
      <c r="AX18" s="167"/>
      <c r="AY18" s="167"/>
      <c r="BB18" s="187"/>
      <c r="BC18" s="187"/>
      <c r="BD18" s="187"/>
      <c r="BE18" s="187"/>
      <c r="BF18" s="187"/>
      <c r="BG18" s="204"/>
      <c r="BH18" s="204"/>
      <c r="BI18" s="204"/>
      <c r="BJ18" s="204"/>
      <c r="BK18" s="170"/>
      <c r="BL18" s="170"/>
      <c r="BM18" s="170"/>
      <c r="BN18" s="170"/>
      <c r="BO18" s="170"/>
      <c r="BP18" s="170"/>
      <c r="BQ18" s="170"/>
    </row>
    <row r="19" spans="1:69" s="168" customFormat="1" ht="20.100000000000001" customHeight="1" x14ac:dyDescent="0.3">
      <c r="A19" s="245"/>
      <c r="B19" s="147"/>
      <c r="C19" s="245"/>
      <c r="D19" s="149"/>
      <c r="E19" s="150"/>
      <c r="F19" s="288"/>
      <c r="G19" s="151"/>
      <c r="H19" s="289"/>
      <c r="I19" s="290"/>
      <c r="J19" s="289"/>
      <c r="K19" s="289"/>
      <c r="L19" s="289"/>
      <c r="M19" s="289"/>
      <c r="N19" s="291"/>
      <c r="O19" s="151"/>
      <c r="P19" s="289"/>
      <c r="Q19" s="235"/>
      <c r="R19" s="151"/>
      <c r="S19" s="236"/>
      <c r="T19" s="292"/>
      <c r="U19" s="241"/>
      <c r="V19" s="288"/>
      <c r="W19" s="241"/>
      <c r="X19" s="240"/>
      <c r="Y19" s="151"/>
      <c r="Z19" s="293"/>
      <c r="AA19" s="151"/>
      <c r="AB19" s="411" t="s">
        <v>13</v>
      </c>
      <c r="AC19" s="161">
        <v>4</v>
      </c>
      <c r="AD19" s="408">
        <v>2</v>
      </c>
      <c r="AE19" s="152"/>
      <c r="AF19" s="152"/>
      <c r="AG19" s="152"/>
      <c r="AH19" s="152"/>
      <c r="AI19" s="291"/>
      <c r="AJ19" s="152"/>
      <c r="AK19" s="162"/>
      <c r="AL19" s="162"/>
      <c r="AM19" s="291"/>
      <c r="AN19" s="152"/>
      <c r="AO19" s="152"/>
      <c r="AP19" s="152"/>
      <c r="AQ19" s="152"/>
      <c r="AR19" s="152"/>
      <c r="AS19" s="294"/>
      <c r="AT19" s="295"/>
      <c r="AU19" s="163"/>
      <c r="AV19" s="165"/>
      <c r="AW19" s="167"/>
      <c r="AX19" s="167"/>
      <c r="AY19" s="167"/>
      <c r="BB19" s="187"/>
      <c r="BC19" s="296"/>
      <c r="BD19" s="296"/>
      <c r="BE19" s="296"/>
      <c r="BF19" s="296"/>
      <c r="BG19" s="272"/>
      <c r="BH19" s="272"/>
      <c r="BI19" s="272"/>
      <c r="BJ19" s="272"/>
      <c r="BK19" s="170"/>
      <c r="BL19" s="170"/>
      <c r="BM19" s="170"/>
      <c r="BN19" s="170"/>
      <c r="BO19" s="170"/>
      <c r="BP19" s="170"/>
      <c r="BQ19" s="170"/>
    </row>
    <row r="20" spans="1:69" s="168" customFormat="1" ht="20.100000000000001" customHeight="1" x14ac:dyDescent="0.3">
      <c r="A20" s="147"/>
      <c r="B20" s="147"/>
      <c r="C20" s="147"/>
      <c r="D20" s="149"/>
      <c r="E20" s="249"/>
      <c r="F20" s="147"/>
      <c r="G20" s="202"/>
      <c r="H20" s="297"/>
      <c r="I20" s="147"/>
      <c r="J20" s="147"/>
      <c r="K20" s="147"/>
      <c r="L20" s="147"/>
      <c r="M20" s="148"/>
      <c r="N20" s="147"/>
      <c r="O20" s="147"/>
      <c r="P20" s="147"/>
      <c r="Q20" s="198"/>
      <c r="R20" s="147"/>
      <c r="S20" s="149"/>
      <c r="T20" s="298"/>
      <c r="U20" s="200"/>
      <c r="V20" s="247"/>
      <c r="W20" s="147"/>
      <c r="X20" s="200"/>
      <c r="Y20" s="148"/>
      <c r="Z20" s="198"/>
      <c r="AA20" s="147"/>
      <c r="AB20" s="412"/>
      <c r="AC20" s="180">
        <v>8</v>
      </c>
      <c r="AD20" s="409"/>
      <c r="AE20" s="147"/>
      <c r="AF20" s="147"/>
      <c r="AG20" s="198"/>
      <c r="AH20" s="147"/>
      <c r="AI20" s="147"/>
      <c r="AJ20" s="147"/>
      <c r="AK20" s="147"/>
      <c r="AL20" s="147"/>
      <c r="AM20" s="200"/>
      <c r="AN20" s="147"/>
      <c r="AO20" s="147"/>
      <c r="AP20" s="147"/>
      <c r="AQ20" s="200"/>
      <c r="AR20" s="147"/>
      <c r="AS20" s="251"/>
      <c r="AT20" s="214"/>
      <c r="AU20" s="299"/>
      <c r="AV20" s="254"/>
      <c r="AW20" s="252"/>
      <c r="AX20" s="167"/>
      <c r="AY20" s="167"/>
      <c r="BB20" s="186"/>
      <c r="BC20" s="296"/>
      <c r="BD20" s="296"/>
      <c r="BE20" s="296"/>
      <c r="BF20" s="296"/>
      <c r="BG20" s="272"/>
      <c r="BH20" s="272"/>
      <c r="BI20" s="272"/>
      <c r="BJ20" s="272"/>
      <c r="BK20" s="170"/>
      <c r="BL20" s="170"/>
      <c r="BM20" s="170"/>
      <c r="BN20" s="170"/>
      <c r="BO20" s="170"/>
      <c r="BP20" s="170"/>
      <c r="BQ20" s="170"/>
    </row>
    <row r="21" spans="1:69" s="168" customFormat="1" ht="20.100000000000001" customHeight="1" x14ac:dyDescent="0.3">
      <c r="A21" s="147"/>
      <c r="B21" s="147"/>
      <c r="C21" s="147"/>
      <c r="D21" s="149"/>
      <c r="E21" s="249"/>
      <c r="F21" s="147"/>
      <c r="G21" s="191"/>
      <c r="H21" s="147"/>
      <c r="I21" s="147"/>
      <c r="J21" s="147"/>
      <c r="K21" s="147"/>
      <c r="L21" s="147"/>
      <c r="M21" s="148"/>
      <c r="N21" s="147"/>
      <c r="O21" s="147"/>
      <c r="P21" s="147"/>
      <c r="Q21" s="198"/>
      <c r="R21" s="147"/>
      <c r="S21" s="149"/>
      <c r="T21" s="298"/>
      <c r="U21" s="200"/>
      <c r="V21" s="247"/>
      <c r="W21" s="147"/>
      <c r="X21" s="200"/>
      <c r="Y21" s="148"/>
      <c r="Z21" s="198"/>
      <c r="AA21" s="147"/>
      <c r="AB21" s="412"/>
      <c r="AC21" s="180">
        <v>12</v>
      </c>
      <c r="AD21" s="409"/>
      <c r="AE21" s="147"/>
      <c r="AF21" s="147"/>
      <c r="AG21" s="208"/>
      <c r="AH21" s="208"/>
      <c r="AI21" s="147"/>
      <c r="AJ21" s="147"/>
      <c r="AK21" s="147"/>
      <c r="AL21" s="147"/>
      <c r="AM21" s="200"/>
      <c r="AN21" s="147"/>
      <c r="AO21" s="147"/>
      <c r="AP21" s="147"/>
      <c r="AQ21" s="200"/>
      <c r="AR21" s="147"/>
      <c r="AS21" s="251"/>
      <c r="AT21" s="300"/>
      <c r="AU21" s="258"/>
      <c r="AV21" s="254"/>
      <c r="AW21" s="252"/>
      <c r="AX21" s="167"/>
      <c r="AY21" s="167"/>
      <c r="BB21" s="187"/>
      <c r="BC21" s="296"/>
      <c r="BD21" s="296"/>
      <c r="BE21" s="296"/>
      <c r="BF21" s="296"/>
      <c r="BG21" s="272"/>
      <c r="BH21" s="272"/>
      <c r="BI21" s="272"/>
      <c r="BJ21" s="272"/>
      <c r="BK21" s="170"/>
      <c r="BL21" s="170"/>
      <c r="BM21" s="170"/>
      <c r="BN21" s="170"/>
      <c r="BO21" s="170"/>
      <c r="BP21" s="170"/>
      <c r="BQ21" s="170"/>
    </row>
    <row r="22" spans="1:69" s="168" customFormat="1" ht="20.100000000000001" customHeight="1" x14ac:dyDescent="0.35">
      <c r="A22" s="147"/>
      <c r="B22" s="147"/>
      <c r="C22" s="147"/>
      <c r="D22" s="149"/>
      <c r="E22" s="179"/>
      <c r="F22" s="177"/>
      <c r="G22" s="261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49"/>
      <c r="T22" s="298"/>
      <c r="U22" s="177"/>
      <c r="V22" s="261"/>
      <c r="W22" s="177"/>
      <c r="X22" s="177"/>
      <c r="Y22" s="177"/>
      <c r="Z22" s="177"/>
      <c r="AA22" s="177"/>
      <c r="AB22" s="412"/>
      <c r="AC22" s="180">
        <v>16</v>
      </c>
      <c r="AD22" s="409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268"/>
      <c r="AT22" s="301"/>
      <c r="AU22" s="267"/>
      <c r="AV22" s="269"/>
      <c r="AW22" s="252"/>
      <c r="AX22" s="167"/>
      <c r="AY22" s="167"/>
      <c r="BB22" s="187"/>
      <c r="BC22" s="302"/>
      <c r="BD22" s="303"/>
      <c r="BE22" s="304"/>
      <c r="BF22" s="304"/>
      <c r="BG22" s="304"/>
      <c r="BH22" s="303"/>
      <c r="BI22" s="303"/>
      <c r="BJ22" s="272"/>
      <c r="BK22" s="170"/>
      <c r="BL22" s="170"/>
      <c r="BM22" s="170"/>
      <c r="BN22" s="170"/>
      <c r="BO22" s="170"/>
      <c r="BP22" s="170"/>
      <c r="BQ22" s="170"/>
    </row>
    <row r="23" spans="1:69" s="168" customFormat="1" ht="20.100000000000001" customHeight="1" x14ac:dyDescent="0.35">
      <c r="A23" s="147"/>
      <c r="B23" s="147"/>
      <c r="C23" s="147"/>
      <c r="D23" s="149"/>
      <c r="E23" s="179"/>
      <c r="F23" s="177"/>
      <c r="G23" s="261"/>
      <c r="H23" s="262"/>
      <c r="I23" s="261"/>
      <c r="J23" s="261"/>
      <c r="K23" s="261"/>
      <c r="L23" s="177"/>
      <c r="M23" s="177"/>
      <c r="N23" s="261"/>
      <c r="O23" s="261"/>
      <c r="P23" s="177"/>
      <c r="Q23" s="177"/>
      <c r="R23" s="177"/>
      <c r="S23" s="149"/>
      <c r="T23" s="298"/>
      <c r="U23" s="177"/>
      <c r="V23" s="177"/>
      <c r="W23" s="177"/>
      <c r="X23" s="177"/>
      <c r="Y23" s="261"/>
      <c r="Z23" s="177"/>
      <c r="AA23" s="177"/>
      <c r="AB23" s="412"/>
      <c r="AC23" s="180">
        <v>20</v>
      </c>
      <c r="AD23" s="409"/>
      <c r="AE23" s="171"/>
      <c r="AF23" s="206"/>
      <c r="AG23" s="171"/>
      <c r="AH23" s="171"/>
      <c r="AI23" s="174"/>
      <c r="AJ23" s="171"/>
      <c r="AK23" s="305"/>
      <c r="AL23" s="171"/>
      <c r="AM23" s="171"/>
      <c r="AN23" s="147"/>
      <c r="AO23" s="147"/>
      <c r="AP23" s="174"/>
      <c r="AQ23" s="147"/>
      <c r="AR23" s="147"/>
      <c r="AS23" s="183"/>
      <c r="AT23" s="214"/>
      <c r="AU23" s="183"/>
      <c r="AV23" s="185"/>
      <c r="AW23" s="167"/>
      <c r="AX23" s="167"/>
      <c r="AY23" s="167"/>
      <c r="BB23" s="186"/>
      <c r="BC23" s="303"/>
      <c r="BD23" s="303"/>
      <c r="BE23" s="304"/>
      <c r="BF23" s="304"/>
      <c r="BG23" s="304"/>
      <c r="BH23" s="303"/>
      <c r="BI23" s="303"/>
      <c r="BJ23" s="272"/>
      <c r="BK23" s="170"/>
      <c r="BL23" s="170"/>
      <c r="BM23" s="170"/>
      <c r="BN23" s="170"/>
      <c r="BO23" s="170"/>
      <c r="BP23" s="170"/>
      <c r="BQ23" s="170"/>
    </row>
    <row r="24" spans="1:69" s="168" customFormat="1" ht="20.100000000000001" customHeight="1" thickBot="1" x14ac:dyDescent="0.4">
      <c r="A24" s="147"/>
      <c r="B24" s="147"/>
      <c r="C24" s="147"/>
      <c r="D24" s="149"/>
      <c r="E24" s="306"/>
      <c r="F24" s="218"/>
      <c r="G24" s="219"/>
      <c r="H24" s="219"/>
      <c r="I24" s="219"/>
      <c r="J24" s="219"/>
      <c r="K24" s="219"/>
      <c r="L24" s="218"/>
      <c r="M24" s="281"/>
      <c r="N24" s="219"/>
      <c r="O24" s="219"/>
      <c r="P24" s="277"/>
      <c r="Q24" s="219"/>
      <c r="R24" s="278"/>
      <c r="S24" s="279"/>
      <c r="T24" s="307"/>
      <c r="U24" s="221"/>
      <c r="V24" s="218"/>
      <c r="W24" s="282"/>
      <c r="X24" s="277"/>
      <c r="Y24" s="308"/>
      <c r="Z24" s="309"/>
      <c r="AA24" s="219"/>
      <c r="AB24" s="413"/>
      <c r="AC24" s="227">
        <v>24</v>
      </c>
      <c r="AD24" s="410"/>
      <c r="AE24" s="219"/>
      <c r="AF24" s="222"/>
      <c r="AG24" s="309"/>
      <c r="AH24" s="219"/>
      <c r="AI24" s="219"/>
      <c r="AJ24" s="219"/>
      <c r="AK24" s="221"/>
      <c r="AL24" s="219"/>
      <c r="AM24" s="219"/>
      <c r="AN24" s="310"/>
      <c r="AO24" s="311"/>
      <c r="AP24" s="311"/>
      <c r="AQ24" s="311"/>
      <c r="AR24" s="218"/>
      <c r="AS24" s="228"/>
      <c r="AT24" s="229"/>
      <c r="AU24" s="228"/>
      <c r="AV24" s="230"/>
      <c r="AW24" s="167"/>
      <c r="AX24" s="167"/>
      <c r="AY24" s="167"/>
      <c r="BB24" s="187"/>
      <c r="BC24" s="303"/>
      <c r="BD24" s="303"/>
      <c r="BE24" s="304"/>
      <c r="BF24" s="304"/>
      <c r="BG24" s="304"/>
      <c r="BH24" s="303"/>
      <c r="BI24" s="303"/>
      <c r="BJ24" s="272"/>
      <c r="BK24" s="170"/>
      <c r="BL24" s="170"/>
      <c r="BM24" s="170"/>
      <c r="BN24" s="170"/>
      <c r="BO24" s="170"/>
      <c r="BP24" s="170"/>
      <c r="BQ24" s="170"/>
    </row>
    <row r="25" spans="1:69" s="168" customFormat="1" ht="20.100000000000001" customHeight="1" x14ac:dyDescent="0.3">
      <c r="A25" s="312"/>
      <c r="B25" s="312"/>
      <c r="C25" s="312"/>
      <c r="D25" s="313"/>
      <c r="E25" s="150"/>
      <c r="F25" s="151"/>
      <c r="G25" s="152"/>
      <c r="H25" s="154"/>
      <c r="I25" s="152"/>
      <c r="J25" s="154"/>
      <c r="K25" s="154"/>
      <c r="L25" s="152"/>
      <c r="M25" s="152"/>
      <c r="N25" s="152"/>
      <c r="O25" s="162"/>
      <c r="P25" s="152"/>
      <c r="Q25" s="152"/>
      <c r="R25" s="151"/>
      <c r="S25" s="314"/>
      <c r="T25" s="315"/>
      <c r="U25" s="162"/>
      <c r="V25" s="151"/>
      <c r="W25" s="151"/>
      <c r="X25" s="151"/>
      <c r="Y25" s="162"/>
      <c r="Z25" s="152"/>
      <c r="AA25" s="151"/>
      <c r="AB25" s="411" t="s">
        <v>14</v>
      </c>
      <c r="AC25" s="161">
        <v>4</v>
      </c>
      <c r="AD25" s="408">
        <v>3</v>
      </c>
      <c r="AE25" s="152"/>
      <c r="AF25" s="152"/>
      <c r="AG25" s="152"/>
      <c r="AH25" s="152"/>
      <c r="AI25" s="152"/>
      <c r="AJ25" s="152"/>
      <c r="AK25" s="162"/>
      <c r="AL25" s="152"/>
      <c r="AM25" s="152"/>
      <c r="AN25" s="316"/>
      <c r="AO25" s="316"/>
      <c r="AP25" s="316"/>
      <c r="AQ25" s="316"/>
      <c r="AR25" s="151"/>
      <c r="AS25" s="317"/>
      <c r="AT25" s="295"/>
      <c r="AU25" s="163"/>
      <c r="AV25" s="165"/>
      <c r="AW25" s="167"/>
      <c r="AX25" s="167"/>
      <c r="AY25" s="167"/>
      <c r="BB25" s="186"/>
      <c r="BC25" s="296"/>
      <c r="BD25" s="296"/>
      <c r="BE25" s="296"/>
      <c r="BF25" s="296"/>
      <c r="BG25" s="272"/>
      <c r="BH25" s="272"/>
      <c r="BI25" s="272"/>
      <c r="BJ25" s="272"/>
      <c r="BK25" s="170"/>
      <c r="BL25" s="170"/>
      <c r="BM25" s="170"/>
      <c r="BN25" s="170"/>
      <c r="BO25" s="170"/>
      <c r="BP25" s="170"/>
      <c r="BQ25" s="170"/>
    </row>
    <row r="26" spans="1:69" s="168" customFormat="1" ht="20.100000000000001" customHeight="1" x14ac:dyDescent="0.3">
      <c r="A26" s="171"/>
      <c r="B26" s="147"/>
      <c r="C26" s="205"/>
      <c r="D26" s="313"/>
      <c r="E26" s="172"/>
      <c r="F26" s="147"/>
      <c r="G26" s="174"/>
      <c r="H26" s="174"/>
      <c r="I26" s="171"/>
      <c r="J26" s="171"/>
      <c r="K26" s="174"/>
      <c r="L26" s="171"/>
      <c r="M26" s="171"/>
      <c r="N26" s="171"/>
      <c r="O26" s="171"/>
      <c r="P26" s="171"/>
      <c r="Q26" s="171"/>
      <c r="R26" s="147"/>
      <c r="S26" s="149"/>
      <c r="T26" s="298"/>
      <c r="U26" s="200"/>
      <c r="V26" s="247"/>
      <c r="W26" s="147"/>
      <c r="X26" s="200"/>
      <c r="Y26" s="148"/>
      <c r="Z26" s="198"/>
      <c r="AA26" s="147"/>
      <c r="AB26" s="412"/>
      <c r="AC26" s="180">
        <v>8</v>
      </c>
      <c r="AD26" s="409"/>
      <c r="AE26" s="171"/>
      <c r="AF26" s="171"/>
      <c r="AG26" s="171"/>
      <c r="AH26" s="171"/>
      <c r="AI26" s="171" t="s">
        <v>19</v>
      </c>
      <c r="AJ26" s="192"/>
      <c r="AK26" s="171"/>
      <c r="AL26" s="171"/>
      <c r="AM26" s="147"/>
      <c r="AN26" s="147"/>
      <c r="AO26" s="147"/>
      <c r="AP26" s="147"/>
      <c r="AQ26" s="147"/>
      <c r="AR26" s="147"/>
      <c r="AS26" s="183"/>
      <c r="AT26" s="214"/>
      <c r="AU26" s="183"/>
      <c r="AV26" s="185"/>
      <c r="AW26" s="167"/>
      <c r="AX26" s="167"/>
      <c r="AY26" s="167"/>
      <c r="BB26" s="187"/>
      <c r="BC26" s="296"/>
      <c r="BD26" s="296"/>
      <c r="BE26" s="296"/>
      <c r="BF26" s="296"/>
      <c r="BG26" s="272"/>
      <c r="BH26" s="272"/>
      <c r="BI26" s="272"/>
      <c r="BJ26" s="272"/>
      <c r="BK26" s="170"/>
      <c r="BL26" s="170"/>
      <c r="BM26" s="170"/>
      <c r="BN26" s="170"/>
      <c r="BO26" s="170"/>
      <c r="BP26" s="170"/>
      <c r="BQ26" s="170"/>
    </row>
    <row r="27" spans="1:69" s="168" customFormat="1" ht="20.100000000000001" customHeight="1" x14ac:dyDescent="0.35">
      <c r="A27" s="171"/>
      <c r="B27" s="200"/>
      <c r="C27" s="318"/>
      <c r="D27" s="319"/>
      <c r="E27" s="172"/>
      <c r="F27" s="200"/>
      <c r="G27" s="171"/>
      <c r="H27" s="305"/>
      <c r="I27" s="171"/>
      <c r="J27" s="147"/>
      <c r="K27" s="147"/>
      <c r="L27" s="147"/>
      <c r="M27" s="171"/>
      <c r="N27" s="171"/>
      <c r="O27" s="171"/>
      <c r="P27" s="171"/>
      <c r="Q27" s="147"/>
      <c r="R27" s="147"/>
      <c r="S27" s="149"/>
      <c r="T27" s="298"/>
      <c r="U27" s="148"/>
      <c r="V27" s="148"/>
      <c r="W27" s="147"/>
      <c r="X27" s="147"/>
      <c r="Y27" s="147"/>
      <c r="Z27" s="147"/>
      <c r="AA27" s="171"/>
      <c r="AB27" s="412"/>
      <c r="AC27" s="180">
        <v>12</v>
      </c>
      <c r="AD27" s="409"/>
      <c r="AE27" s="171"/>
      <c r="AF27" s="206"/>
      <c r="AG27" s="171"/>
      <c r="AH27" s="171"/>
      <c r="AI27" s="174"/>
      <c r="AJ27" s="171"/>
      <c r="AK27" s="305"/>
      <c r="AL27" s="171"/>
      <c r="AM27" s="171"/>
      <c r="AN27" s="147"/>
      <c r="AO27" s="147"/>
      <c r="AP27" s="174"/>
      <c r="AQ27" s="147"/>
      <c r="AR27" s="147"/>
      <c r="AS27" s="183"/>
      <c r="AT27" s="214"/>
      <c r="AU27" s="183"/>
      <c r="AV27" s="185"/>
      <c r="AW27" s="167"/>
      <c r="AX27" s="167"/>
      <c r="AY27" s="167"/>
      <c r="BB27" s="186"/>
      <c r="BC27" s="296"/>
      <c r="BD27" s="296"/>
      <c r="BE27" s="296"/>
      <c r="BF27" s="296"/>
      <c r="BG27" s="272"/>
      <c r="BH27" s="272"/>
      <c r="BI27" s="272"/>
      <c r="BJ27" s="272"/>
      <c r="BK27" s="170"/>
      <c r="BL27" s="170"/>
      <c r="BM27" s="170"/>
      <c r="BN27" s="170"/>
      <c r="BO27" s="170"/>
      <c r="BP27" s="170"/>
      <c r="BQ27" s="170"/>
    </row>
    <row r="28" spans="1:69" s="168" customFormat="1" ht="20.100000000000001" customHeight="1" x14ac:dyDescent="0.35">
      <c r="A28" s="171"/>
      <c r="B28" s="171"/>
      <c r="C28" s="318"/>
      <c r="D28" s="319"/>
      <c r="E28" s="298"/>
      <c r="F28" s="147"/>
      <c r="G28" s="174"/>
      <c r="H28" s="174"/>
      <c r="I28" s="171"/>
      <c r="J28" s="147"/>
      <c r="K28" s="147"/>
      <c r="L28" s="147"/>
      <c r="M28" s="171"/>
      <c r="N28" s="171"/>
      <c r="O28" s="171"/>
      <c r="P28" s="171"/>
      <c r="Q28" s="147"/>
      <c r="R28" s="147"/>
      <c r="S28" s="149"/>
      <c r="T28" s="298"/>
      <c r="U28" s="148"/>
      <c r="V28" s="147"/>
      <c r="W28" s="147"/>
      <c r="X28" s="202"/>
      <c r="Y28" s="147"/>
      <c r="Z28" s="147"/>
      <c r="AA28" s="320"/>
      <c r="AB28" s="412"/>
      <c r="AC28" s="180">
        <v>16</v>
      </c>
      <c r="AD28" s="409"/>
      <c r="AE28" s="171"/>
      <c r="AF28" s="171"/>
      <c r="AG28" s="171"/>
      <c r="AH28" s="171"/>
      <c r="AI28" s="171"/>
      <c r="AJ28" s="171"/>
      <c r="AK28" s="171"/>
      <c r="AL28" s="171"/>
      <c r="AM28" s="147"/>
      <c r="AN28" s="147"/>
      <c r="AO28" s="147"/>
      <c r="AP28" s="147"/>
      <c r="AQ28" s="147"/>
      <c r="AR28" s="147"/>
      <c r="AS28" s="183"/>
      <c r="AT28" s="214"/>
      <c r="AU28" s="183"/>
      <c r="AV28" s="185"/>
      <c r="AW28" s="167"/>
      <c r="AX28" s="167"/>
      <c r="AY28" s="167"/>
      <c r="BB28" s="187"/>
      <c r="BC28" s="296"/>
      <c r="BD28" s="296"/>
      <c r="BE28" s="296"/>
      <c r="BF28" s="187"/>
      <c r="BG28" s="204"/>
      <c r="BH28" s="204"/>
      <c r="BI28" s="204"/>
      <c r="BJ28" s="204"/>
      <c r="BK28" s="170"/>
      <c r="BL28" s="170"/>
      <c r="BM28" s="170"/>
      <c r="BN28" s="170"/>
      <c r="BO28" s="170"/>
      <c r="BP28" s="170"/>
      <c r="BQ28" s="170"/>
    </row>
    <row r="29" spans="1:69" s="168" customFormat="1" ht="20.100000000000001" customHeight="1" x14ac:dyDescent="0.35">
      <c r="A29" s="171"/>
      <c r="B29" s="171"/>
      <c r="C29" s="318"/>
      <c r="D29" s="319"/>
      <c r="E29" s="321"/>
      <c r="F29" s="147"/>
      <c r="G29" s="174"/>
      <c r="H29" s="305"/>
      <c r="I29" s="171"/>
      <c r="J29" s="147"/>
      <c r="K29" s="147"/>
      <c r="L29" s="147"/>
      <c r="M29" s="171"/>
      <c r="N29" s="171"/>
      <c r="O29" s="171"/>
      <c r="P29" s="171"/>
      <c r="Q29" s="147"/>
      <c r="R29" s="147"/>
      <c r="S29" s="149"/>
      <c r="T29" s="298"/>
      <c r="U29" s="147"/>
      <c r="V29" s="147"/>
      <c r="W29" s="147"/>
      <c r="X29" s="148"/>
      <c r="Y29" s="147"/>
      <c r="Z29" s="147"/>
      <c r="AA29" s="171"/>
      <c r="AB29" s="412"/>
      <c r="AC29" s="180">
        <v>20</v>
      </c>
      <c r="AD29" s="409"/>
      <c r="AE29" s="171"/>
      <c r="AF29" s="171"/>
      <c r="AG29" s="171"/>
      <c r="AH29" s="171"/>
      <c r="AI29" s="171"/>
      <c r="AJ29" s="171"/>
      <c r="AK29" s="171"/>
      <c r="AL29" s="171"/>
      <c r="AM29" s="147"/>
      <c r="AN29" s="147"/>
      <c r="AO29" s="147"/>
      <c r="AP29" s="147"/>
      <c r="AQ29" s="147"/>
      <c r="AR29" s="147"/>
      <c r="AS29" s="183"/>
      <c r="AT29" s="214"/>
      <c r="AU29" s="183"/>
      <c r="AV29" s="185"/>
      <c r="AW29" s="167"/>
      <c r="AX29" s="167"/>
      <c r="AY29" s="167"/>
      <c r="BB29" s="186"/>
      <c r="BC29" s="296"/>
      <c r="BD29" s="296"/>
      <c r="BE29" s="296"/>
      <c r="BF29" s="187"/>
      <c r="BG29" s="204"/>
      <c r="BH29" s="204"/>
      <c r="BI29" s="204"/>
      <c r="BJ29" s="204"/>
      <c r="BK29" s="170"/>
      <c r="BL29" s="170"/>
      <c r="BM29" s="170"/>
      <c r="BN29" s="170"/>
      <c r="BO29" s="170"/>
      <c r="BP29" s="170"/>
      <c r="BQ29" s="170"/>
    </row>
    <row r="30" spans="1:69" s="168" customFormat="1" ht="20.100000000000001" customHeight="1" thickBot="1" x14ac:dyDescent="0.4">
      <c r="A30" s="171"/>
      <c r="B30" s="171"/>
      <c r="C30" s="322"/>
      <c r="D30" s="319"/>
      <c r="E30" s="323"/>
      <c r="F30" s="218"/>
      <c r="G30" s="218"/>
      <c r="H30" s="218"/>
      <c r="I30" s="218"/>
      <c r="J30" s="218"/>
      <c r="K30" s="218"/>
      <c r="L30" s="218"/>
      <c r="M30" s="219"/>
      <c r="N30" s="219"/>
      <c r="O30" s="219"/>
      <c r="P30" s="324"/>
      <c r="Q30" s="218"/>
      <c r="R30" s="218"/>
      <c r="S30" s="325"/>
      <c r="T30" s="323"/>
      <c r="U30" s="218"/>
      <c r="V30" s="218"/>
      <c r="W30" s="218"/>
      <c r="X30" s="218"/>
      <c r="Y30" s="218"/>
      <c r="Z30" s="218"/>
      <c r="AA30" s="219"/>
      <c r="AB30" s="413"/>
      <c r="AC30" s="227">
        <v>24</v>
      </c>
      <c r="AD30" s="410"/>
      <c r="AE30" s="218"/>
      <c r="AF30" s="218"/>
      <c r="AG30" s="218"/>
      <c r="AH30" s="218"/>
      <c r="AI30" s="219"/>
      <c r="AJ30" s="219"/>
      <c r="AK30" s="221"/>
      <c r="AL30" s="219"/>
      <c r="AM30" s="219"/>
      <c r="AN30" s="310"/>
      <c r="AO30" s="311"/>
      <c r="AP30" s="311"/>
      <c r="AQ30" s="311"/>
      <c r="AR30" s="218"/>
      <c r="AS30" s="228"/>
      <c r="AT30" s="229"/>
      <c r="AU30" s="326"/>
      <c r="AV30" s="327"/>
      <c r="AW30" s="252"/>
      <c r="AX30" s="252"/>
      <c r="AY30" s="167"/>
      <c r="BB30" s="186"/>
      <c r="BC30" s="187"/>
      <c r="BD30" s="187"/>
      <c r="BE30" s="187"/>
      <c r="BF30" s="187"/>
      <c r="BG30" s="204"/>
      <c r="BH30" s="204"/>
      <c r="BI30" s="204"/>
      <c r="BJ30" s="204"/>
      <c r="BK30" s="170"/>
      <c r="BL30" s="170"/>
      <c r="BM30" s="170"/>
      <c r="BN30" s="170"/>
      <c r="BO30" s="170"/>
      <c r="BP30" s="170"/>
      <c r="BQ30" s="170"/>
    </row>
    <row r="31" spans="1:69" s="168" customFormat="1" ht="20.100000000000001" customHeight="1" x14ac:dyDescent="0.3">
      <c r="A31" s="171"/>
      <c r="B31" s="171"/>
      <c r="C31" s="147"/>
      <c r="D31" s="149"/>
      <c r="E31" s="150"/>
      <c r="F31" s="151"/>
      <c r="G31" s="162"/>
      <c r="H31" s="152"/>
      <c r="I31" s="151"/>
      <c r="J31" s="151"/>
      <c r="K31" s="151"/>
      <c r="L31" s="151"/>
      <c r="M31" s="152"/>
      <c r="N31" s="152"/>
      <c r="O31" s="152"/>
      <c r="P31" s="151"/>
      <c r="Q31" s="151"/>
      <c r="R31" s="151"/>
      <c r="S31" s="236"/>
      <c r="T31" s="328"/>
      <c r="U31" s="155"/>
      <c r="V31" s="151"/>
      <c r="W31" s="151"/>
      <c r="X31" s="151"/>
      <c r="Y31" s="155"/>
      <c r="Z31" s="151"/>
      <c r="AA31" s="151"/>
      <c r="AB31" s="411" t="s">
        <v>15</v>
      </c>
      <c r="AC31" s="161">
        <v>4</v>
      </c>
      <c r="AD31" s="408">
        <v>4</v>
      </c>
      <c r="AE31" s="152"/>
      <c r="AF31" s="152"/>
      <c r="AG31" s="154"/>
      <c r="AH31" s="152"/>
      <c r="AI31" s="152"/>
      <c r="AJ31" s="152"/>
      <c r="AK31" s="152"/>
      <c r="AL31" s="162"/>
      <c r="AM31" s="151"/>
      <c r="AN31" s="151"/>
      <c r="AO31" s="151"/>
      <c r="AP31" s="151"/>
      <c r="AQ31" s="151"/>
      <c r="AR31" s="151"/>
      <c r="AS31" s="242"/>
      <c r="AT31" s="295"/>
      <c r="AU31" s="163"/>
      <c r="AV31" s="165"/>
      <c r="AW31" s="167"/>
      <c r="AX31" s="167"/>
      <c r="AY31" s="167"/>
      <c r="BB31" s="187"/>
      <c r="BC31" s="187"/>
      <c r="BD31" s="187"/>
      <c r="BE31" s="187"/>
      <c r="BF31" s="187"/>
      <c r="BG31" s="204"/>
      <c r="BH31" s="204"/>
      <c r="BI31" s="204"/>
      <c r="BJ31" s="204"/>
      <c r="BK31" s="170"/>
      <c r="BL31" s="170"/>
      <c r="BM31" s="170"/>
      <c r="BN31" s="170"/>
      <c r="BO31" s="170"/>
      <c r="BP31" s="170"/>
      <c r="BQ31" s="170"/>
    </row>
    <row r="32" spans="1:69" s="168" customFormat="1" ht="20.100000000000001" customHeight="1" x14ac:dyDescent="0.3">
      <c r="A32" s="171"/>
      <c r="B32" s="171"/>
      <c r="C32" s="147"/>
      <c r="D32" s="149"/>
      <c r="E32" s="172"/>
      <c r="F32" s="148"/>
      <c r="G32" s="171"/>
      <c r="H32" s="147"/>
      <c r="I32" s="147"/>
      <c r="J32" s="147"/>
      <c r="K32" s="147"/>
      <c r="L32" s="147"/>
      <c r="M32" s="171"/>
      <c r="N32" s="171"/>
      <c r="O32" s="147"/>
      <c r="P32" s="213"/>
      <c r="Q32" s="147"/>
      <c r="R32" s="213"/>
      <c r="S32" s="149"/>
      <c r="T32" s="329"/>
      <c r="U32" s="147"/>
      <c r="V32" s="200"/>
      <c r="W32" s="147"/>
      <c r="X32" s="148"/>
      <c r="Y32" s="147"/>
      <c r="Z32" s="147"/>
      <c r="AA32" s="147"/>
      <c r="AB32" s="412"/>
      <c r="AC32" s="180">
        <v>8</v>
      </c>
      <c r="AD32" s="409"/>
      <c r="AE32" s="174"/>
      <c r="AF32" s="171"/>
      <c r="AG32" s="171"/>
      <c r="AH32" s="171"/>
      <c r="AI32" s="171"/>
      <c r="AJ32" s="171"/>
      <c r="AK32" s="171"/>
      <c r="AL32" s="171"/>
      <c r="AM32" s="171"/>
      <c r="AN32" s="330"/>
      <c r="AO32" s="330"/>
      <c r="AP32" s="330"/>
      <c r="AQ32" s="330"/>
      <c r="AR32" s="171"/>
      <c r="AS32" s="183"/>
      <c r="AT32" s="300"/>
      <c r="AU32" s="331"/>
      <c r="AV32" s="254"/>
      <c r="AW32" s="167"/>
      <c r="AX32" s="167"/>
      <c r="AY32" s="167"/>
      <c r="BB32" s="187"/>
      <c r="BC32" s="187"/>
      <c r="BD32" s="187"/>
      <c r="BE32" s="187"/>
      <c r="BF32" s="187"/>
      <c r="BG32" s="204"/>
      <c r="BH32" s="204"/>
      <c r="BI32" s="204"/>
      <c r="BJ32" s="204"/>
      <c r="BK32" s="170"/>
      <c r="BL32" s="170"/>
      <c r="BM32" s="170"/>
      <c r="BN32" s="170"/>
      <c r="BO32" s="170"/>
      <c r="BP32" s="170"/>
      <c r="BQ32" s="170"/>
    </row>
    <row r="33" spans="1:69" s="168" customFormat="1" ht="20.100000000000001" customHeight="1" x14ac:dyDescent="0.35">
      <c r="A33" s="171"/>
      <c r="B33" s="171"/>
      <c r="C33" s="147"/>
      <c r="D33" s="149"/>
      <c r="E33" s="332"/>
      <c r="F33" s="147"/>
      <c r="G33" s="174"/>
      <c r="H33" s="147"/>
      <c r="I33" s="198"/>
      <c r="J33" s="147"/>
      <c r="K33" s="147"/>
      <c r="L33" s="147"/>
      <c r="M33" s="198"/>
      <c r="N33" s="171"/>
      <c r="O33" s="147"/>
      <c r="P33" s="213"/>
      <c r="Q33" s="147"/>
      <c r="R33" s="213"/>
      <c r="S33" s="149"/>
      <c r="T33" s="249"/>
      <c r="U33" s="148"/>
      <c r="V33" s="147"/>
      <c r="W33" s="147"/>
      <c r="X33" s="148"/>
      <c r="Y33" s="148"/>
      <c r="Z33" s="147"/>
      <c r="AA33" s="147"/>
      <c r="AB33" s="412"/>
      <c r="AC33" s="180">
        <v>12</v>
      </c>
      <c r="AD33" s="409"/>
      <c r="AE33" s="171"/>
      <c r="AF33" s="174"/>
      <c r="AG33" s="305"/>
      <c r="AH33" s="305"/>
      <c r="AI33" s="305"/>
      <c r="AJ33" s="305"/>
      <c r="AK33" s="305"/>
      <c r="AL33" s="305"/>
      <c r="AM33" s="305"/>
      <c r="AN33" s="250"/>
      <c r="AO33" s="250"/>
      <c r="AP33" s="250"/>
      <c r="AQ33" s="250"/>
      <c r="AR33" s="250"/>
      <c r="AS33" s="251"/>
      <c r="AT33" s="199"/>
      <c r="AU33" s="251"/>
      <c r="AV33" s="333"/>
      <c r="AW33" s="167"/>
      <c r="AX33" s="167"/>
      <c r="AY33" s="167"/>
      <c r="BB33" s="187"/>
      <c r="BC33" s="187"/>
      <c r="BD33" s="187"/>
      <c r="BE33" s="187"/>
      <c r="BF33" s="187"/>
      <c r="BG33" s="204"/>
      <c r="BH33" s="204"/>
      <c r="BI33" s="204"/>
      <c r="BJ33" s="204"/>
      <c r="BK33" s="170"/>
      <c r="BL33" s="170"/>
      <c r="BM33" s="170"/>
      <c r="BN33" s="170"/>
      <c r="BO33" s="170"/>
      <c r="BP33" s="170"/>
      <c r="BQ33" s="170"/>
    </row>
    <row r="34" spans="1:69" s="168" customFormat="1" ht="20.100000000000001" customHeight="1" x14ac:dyDescent="0.3">
      <c r="A34" s="171"/>
      <c r="B34" s="171"/>
      <c r="C34" s="147"/>
      <c r="D34" s="149"/>
      <c r="E34" s="172"/>
      <c r="F34" s="148"/>
      <c r="G34" s="147"/>
      <c r="H34" s="147"/>
      <c r="I34" s="174"/>
      <c r="J34" s="147"/>
      <c r="K34" s="147"/>
      <c r="L34" s="148"/>
      <c r="M34" s="171"/>
      <c r="N34" s="171"/>
      <c r="O34" s="147"/>
      <c r="P34" s="213"/>
      <c r="Q34" s="171"/>
      <c r="R34" s="213"/>
      <c r="S34" s="149"/>
      <c r="T34" s="249"/>
      <c r="U34" s="171"/>
      <c r="V34" s="198"/>
      <c r="W34" s="171"/>
      <c r="X34" s="174"/>
      <c r="Y34" s="171"/>
      <c r="Z34" s="171"/>
      <c r="AA34" s="147"/>
      <c r="AB34" s="412"/>
      <c r="AC34" s="180">
        <v>16</v>
      </c>
      <c r="AD34" s="409"/>
      <c r="AE34" s="171"/>
      <c r="AF34" s="198"/>
      <c r="AG34" s="171"/>
      <c r="AH34" s="171"/>
      <c r="AI34" s="171"/>
      <c r="AJ34" s="171"/>
      <c r="AK34" s="171"/>
      <c r="AL34" s="171"/>
      <c r="AM34" s="171"/>
      <c r="AN34" s="330"/>
      <c r="AO34" s="330"/>
      <c r="AP34" s="330"/>
      <c r="AQ34" s="330"/>
      <c r="AR34" s="171"/>
      <c r="AS34" s="251"/>
      <c r="AT34" s="300"/>
      <c r="AU34" s="251"/>
      <c r="AV34" s="333"/>
      <c r="AW34" s="199"/>
      <c r="AX34" s="167"/>
      <c r="AY34" s="167"/>
      <c r="BB34" s="334"/>
      <c r="BC34" s="335"/>
      <c r="BD34" s="336"/>
      <c r="BE34" s="336"/>
      <c r="BF34" s="336"/>
      <c r="BG34" s="336"/>
      <c r="BH34" s="336"/>
      <c r="BI34" s="336"/>
      <c r="BJ34" s="336"/>
      <c r="BK34" s="336"/>
      <c r="BL34" s="336"/>
      <c r="BM34" s="336"/>
      <c r="BN34" s="170"/>
      <c r="BO34" s="170"/>
      <c r="BP34" s="170"/>
      <c r="BQ34" s="170"/>
    </row>
    <row r="35" spans="1:69" s="168" customFormat="1" ht="20.100000000000001" customHeight="1" x14ac:dyDescent="0.3">
      <c r="A35" s="171"/>
      <c r="B35" s="171"/>
      <c r="C35" s="147"/>
      <c r="D35" s="149"/>
      <c r="E35" s="172"/>
      <c r="F35" s="147"/>
      <c r="G35" s="147"/>
      <c r="H35" s="147"/>
      <c r="I35" s="174"/>
      <c r="J35" s="147"/>
      <c r="K35" s="174"/>
      <c r="L35" s="148"/>
      <c r="M35" s="174"/>
      <c r="N35" s="171"/>
      <c r="O35" s="147"/>
      <c r="P35" s="213"/>
      <c r="Q35" s="147"/>
      <c r="R35" s="213"/>
      <c r="S35" s="149"/>
      <c r="T35" s="337"/>
      <c r="U35" s="147"/>
      <c r="V35" s="200"/>
      <c r="W35" s="147"/>
      <c r="X35" s="200"/>
      <c r="Y35" s="147"/>
      <c r="Z35" s="147"/>
      <c r="AA35" s="147"/>
      <c r="AB35" s="412"/>
      <c r="AC35" s="180">
        <v>20</v>
      </c>
      <c r="AD35" s="409"/>
      <c r="AE35" s="171"/>
      <c r="AF35" s="171"/>
      <c r="AG35" s="147"/>
      <c r="AH35" s="200"/>
      <c r="AI35" s="171"/>
      <c r="AJ35" s="171"/>
      <c r="AK35" s="171"/>
      <c r="AL35" s="171"/>
      <c r="AM35" s="171"/>
      <c r="AN35" s="330"/>
      <c r="AO35" s="330"/>
      <c r="AP35" s="330"/>
      <c r="AQ35" s="330"/>
      <c r="AR35" s="171"/>
      <c r="AS35" s="251"/>
      <c r="AT35" s="300"/>
      <c r="AU35" s="251"/>
      <c r="AV35" s="185"/>
      <c r="AW35" s="167"/>
      <c r="AX35" s="167"/>
      <c r="AY35" s="167"/>
      <c r="BB35" s="338"/>
      <c r="BC35" s="335"/>
      <c r="BD35" s="336"/>
      <c r="BE35" s="336"/>
      <c r="BF35" s="336"/>
      <c r="BG35" s="336"/>
      <c r="BH35" s="336"/>
      <c r="BI35" s="336"/>
      <c r="BJ35" s="336"/>
      <c r="BK35" s="336"/>
      <c r="BL35" s="336"/>
      <c r="BM35" s="336"/>
      <c r="BN35" s="170"/>
      <c r="BO35" s="170"/>
      <c r="BP35" s="170"/>
      <c r="BQ35" s="170"/>
    </row>
    <row r="36" spans="1:69" s="168" customFormat="1" ht="20.100000000000001" customHeight="1" thickBot="1" x14ac:dyDescent="0.35">
      <c r="A36" s="171"/>
      <c r="B36" s="171"/>
      <c r="C36" s="148"/>
      <c r="D36" s="149"/>
      <c r="E36" s="323"/>
      <c r="F36" s="277"/>
      <c r="G36" s="218"/>
      <c r="H36" s="218"/>
      <c r="I36" s="220"/>
      <c r="J36" s="218"/>
      <c r="K36" s="218"/>
      <c r="L36" s="277"/>
      <c r="M36" s="219"/>
      <c r="N36" s="219"/>
      <c r="O36" s="218"/>
      <c r="P36" s="339"/>
      <c r="Q36" s="218"/>
      <c r="R36" s="218"/>
      <c r="S36" s="340"/>
      <c r="T36" s="280"/>
      <c r="U36" s="281"/>
      <c r="V36" s="218"/>
      <c r="W36" s="218"/>
      <c r="X36" s="218"/>
      <c r="Y36" s="218"/>
      <c r="Z36" s="218"/>
      <c r="AA36" s="218"/>
      <c r="AB36" s="413"/>
      <c r="AC36" s="227">
        <v>24</v>
      </c>
      <c r="AD36" s="410"/>
      <c r="AE36" s="219"/>
      <c r="AF36" s="219"/>
      <c r="AG36" s="309"/>
      <c r="AH36" s="219"/>
      <c r="AI36" s="219"/>
      <c r="AJ36" s="219"/>
      <c r="AK36" s="221"/>
      <c r="AL36" s="219"/>
      <c r="AM36" s="219"/>
      <c r="AN36" s="310"/>
      <c r="AO36" s="311"/>
      <c r="AP36" s="311"/>
      <c r="AQ36" s="311"/>
      <c r="AR36" s="218"/>
      <c r="AS36" s="228"/>
      <c r="AT36" s="229"/>
      <c r="AU36" s="228"/>
      <c r="AV36" s="230"/>
      <c r="AW36" s="167"/>
      <c r="AX36" s="167"/>
      <c r="AY36" s="167"/>
      <c r="BB36" s="338"/>
      <c r="BC36" s="335"/>
      <c r="BD36" s="336"/>
      <c r="BE36" s="336"/>
      <c r="BF36" s="336"/>
      <c r="BG36" s="336"/>
      <c r="BH36" s="336"/>
      <c r="BI36" s="336"/>
      <c r="BJ36" s="336"/>
      <c r="BK36" s="336"/>
      <c r="BL36" s="336"/>
      <c r="BM36" s="336"/>
      <c r="BN36" s="170"/>
      <c r="BO36" s="170"/>
      <c r="BP36" s="170"/>
      <c r="BQ36" s="170"/>
    </row>
    <row r="37" spans="1:69" s="168" customFormat="1" ht="20.100000000000001" customHeight="1" x14ac:dyDescent="0.3">
      <c r="A37" s="171"/>
      <c r="B37" s="171"/>
      <c r="C37" s="148"/>
      <c r="D37" s="149"/>
      <c r="E37" s="150"/>
      <c r="F37" s="151"/>
      <c r="G37" s="151"/>
      <c r="H37" s="151"/>
      <c r="I37" s="155"/>
      <c r="J37" s="151"/>
      <c r="K37" s="155"/>
      <c r="L37" s="151"/>
      <c r="M37" s="151"/>
      <c r="N37" s="151"/>
      <c r="O37" s="155"/>
      <c r="P37" s="151"/>
      <c r="Q37" s="151"/>
      <c r="R37" s="151"/>
      <c r="S37" s="236"/>
      <c r="T37" s="341"/>
      <c r="U37" s="151"/>
      <c r="V37" s="151"/>
      <c r="W37" s="151"/>
      <c r="X37" s="151"/>
      <c r="Y37" s="151"/>
      <c r="Z37" s="151"/>
      <c r="AA37" s="151"/>
      <c r="AB37" s="414" t="s">
        <v>16</v>
      </c>
      <c r="AC37" s="342">
        <v>4</v>
      </c>
      <c r="AD37" s="408">
        <v>5</v>
      </c>
      <c r="AE37" s="152"/>
      <c r="AF37" s="343"/>
      <c r="AG37" s="152"/>
      <c r="AH37" s="152"/>
      <c r="AI37" s="152"/>
      <c r="AJ37" s="152"/>
      <c r="AK37" s="152"/>
      <c r="AL37" s="343"/>
      <c r="AM37" s="152"/>
      <c r="AN37" s="152"/>
      <c r="AO37" s="152"/>
      <c r="AP37" s="152"/>
      <c r="AQ37" s="152"/>
      <c r="AR37" s="152"/>
      <c r="AS37" s="163"/>
      <c r="AT37" s="295"/>
      <c r="AU37" s="163"/>
      <c r="AV37" s="165"/>
      <c r="AW37" s="167"/>
      <c r="AX37" s="167"/>
      <c r="AY37" s="167"/>
      <c r="BB37" s="338"/>
      <c r="BC37" s="335"/>
      <c r="BD37" s="336"/>
      <c r="BE37" s="336"/>
      <c r="BF37" s="336"/>
      <c r="BG37" s="336"/>
      <c r="BH37" s="336"/>
      <c r="BI37" s="336"/>
      <c r="BJ37" s="336"/>
      <c r="BK37" s="336"/>
      <c r="BL37" s="336"/>
      <c r="BM37" s="336"/>
      <c r="BN37" s="170"/>
      <c r="BO37" s="170"/>
      <c r="BP37" s="170"/>
      <c r="BQ37" s="170"/>
    </row>
    <row r="38" spans="1:69" s="168" customFormat="1" ht="20.100000000000001" customHeight="1" x14ac:dyDescent="0.3">
      <c r="A38" s="171"/>
      <c r="B38" s="171"/>
      <c r="C38" s="148"/>
      <c r="D38" s="149"/>
      <c r="E38" s="172"/>
      <c r="F38" s="200"/>
      <c r="G38" s="147"/>
      <c r="H38" s="147"/>
      <c r="I38" s="344"/>
      <c r="J38" s="147"/>
      <c r="K38" s="200"/>
      <c r="L38" s="344"/>
      <c r="M38" s="147"/>
      <c r="N38" s="345"/>
      <c r="O38" s="200"/>
      <c r="P38" s="147"/>
      <c r="Q38" s="213"/>
      <c r="R38" s="213"/>
      <c r="S38" s="149"/>
      <c r="T38" s="337"/>
      <c r="U38" s="147"/>
      <c r="V38" s="200"/>
      <c r="W38" s="198"/>
      <c r="X38" s="200"/>
      <c r="Y38" s="147"/>
      <c r="Z38" s="147"/>
      <c r="AA38" s="171"/>
      <c r="AB38" s="415"/>
      <c r="AC38" s="180">
        <v>8</v>
      </c>
      <c r="AD38" s="409"/>
      <c r="AE38" s="171"/>
      <c r="AF38" s="171"/>
      <c r="AG38" s="171"/>
      <c r="AH38" s="198"/>
      <c r="AI38" s="171"/>
      <c r="AJ38" s="147"/>
      <c r="AK38" s="171"/>
      <c r="AL38" s="171"/>
      <c r="AM38" s="171"/>
      <c r="AN38" s="206"/>
      <c r="AO38" s="171"/>
      <c r="AP38" s="171"/>
      <c r="AQ38" s="171"/>
      <c r="AR38" s="171"/>
      <c r="AS38" s="346"/>
      <c r="AT38" s="252"/>
      <c r="AU38" s="183"/>
      <c r="AV38" s="185"/>
      <c r="AW38" s="167"/>
      <c r="AX38" s="167"/>
      <c r="AY38" s="167"/>
      <c r="BB38" s="334"/>
      <c r="BC38" s="335"/>
      <c r="BD38" s="336"/>
      <c r="BE38" s="336"/>
      <c r="BF38" s="336"/>
      <c r="BG38" s="336"/>
      <c r="BH38" s="336"/>
      <c r="BI38" s="336"/>
      <c r="BJ38" s="336"/>
      <c r="BK38" s="336"/>
      <c r="BL38" s="336"/>
      <c r="BM38" s="336"/>
      <c r="BN38" s="170"/>
      <c r="BO38" s="170"/>
      <c r="BP38" s="170"/>
      <c r="BQ38" s="170"/>
    </row>
    <row r="39" spans="1:69" s="168" customFormat="1" ht="20.100000000000001" customHeight="1" x14ac:dyDescent="0.3">
      <c r="A39" s="171"/>
      <c r="B39" s="171"/>
      <c r="C39" s="147"/>
      <c r="D39" s="149"/>
      <c r="E39" s="172"/>
      <c r="F39" s="147"/>
      <c r="G39" s="147"/>
      <c r="H39" s="147"/>
      <c r="I39" s="344"/>
      <c r="J39" s="147"/>
      <c r="K39" s="200"/>
      <c r="L39" s="344"/>
      <c r="M39" s="147"/>
      <c r="N39" s="345"/>
      <c r="O39" s="147"/>
      <c r="P39" s="147"/>
      <c r="Q39" s="147"/>
      <c r="R39" s="147"/>
      <c r="S39" s="149"/>
      <c r="T39" s="337"/>
      <c r="U39" s="148"/>
      <c r="V39" s="148"/>
      <c r="W39" s="147"/>
      <c r="X39" s="147"/>
      <c r="Y39" s="147"/>
      <c r="Z39" s="147"/>
      <c r="AA39" s="320"/>
      <c r="AB39" s="415"/>
      <c r="AC39" s="180">
        <v>12</v>
      </c>
      <c r="AD39" s="409"/>
      <c r="AE39" s="171"/>
      <c r="AF39" s="171"/>
      <c r="AG39" s="171"/>
      <c r="AH39" s="171"/>
      <c r="AI39" s="171"/>
      <c r="AJ39" s="147"/>
      <c r="AK39" s="171"/>
      <c r="AL39" s="171"/>
      <c r="AM39" s="171"/>
      <c r="AN39" s="206"/>
      <c r="AO39" s="171"/>
      <c r="AP39" s="171"/>
      <c r="AQ39" s="171"/>
      <c r="AR39" s="171"/>
      <c r="AS39" s="183"/>
      <c r="AT39" s="137"/>
      <c r="AU39" s="183"/>
      <c r="AV39" s="185"/>
      <c r="AW39" s="167"/>
      <c r="AX39" s="167"/>
      <c r="AY39" s="167"/>
      <c r="BB39" s="338"/>
      <c r="BC39" s="335"/>
      <c r="BD39" s="336"/>
      <c r="BE39" s="336"/>
      <c r="BF39" s="336"/>
      <c r="BG39" s="336"/>
      <c r="BH39" s="336"/>
      <c r="BI39" s="336"/>
      <c r="BJ39" s="336"/>
      <c r="BK39" s="336"/>
      <c r="BL39" s="336"/>
      <c r="BM39" s="336"/>
      <c r="BN39" s="170"/>
      <c r="BO39" s="170"/>
      <c r="BP39" s="170"/>
      <c r="BQ39" s="170"/>
    </row>
    <row r="40" spans="1:69" s="168" customFormat="1" ht="20.100000000000001" customHeight="1" x14ac:dyDescent="0.3">
      <c r="A40" s="171"/>
      <c r="B40" s="171"/>
      <c r="C40" s="147"/>
      <c r="D40" s="149"/>
      <c r="E40" s="172"/>
      <c r="F40" s="147"/>
      <c r="G40" s="200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200"/>
      <c r="S40" s="149"/>
      <c r="T40" s="347"/>
      <c r="U40" s="200"/>
      <c r="V40" s="200"/>
      <c r="W40" s="200"/>
      <c r="X40" s="200"/>
      <c r="Y40" s="200"/>
      <c r="Z40" s="200"/>
      <c r="AA40" s="198"/>
      <c r="AB40" s="415"/>
      <c r="AC40" s="180">
        <v>16</v>
      </c>
      <c r="AD40" s="409"/>
      <c r="AE40" s="171"/>
      <c r="AF40" s="171"/>
      <c r="AG40" s="171"/>
      <c r="AH40" s="174"/>
      <c r="AI40" s="171"/>
      <c r="AJ40" s="147"/>
      <c r="AK40" s="171"/>
      <c r="AL40" s="171"/>
      <c r="AM40" s="171"/>
      <c r="AN40" s="206"/>
      <c r="AO40" s="171"/>
      <c r="AP40" s="171"/>
      <c r="AQ40" s="171"/>
      <c r="AR40" s="171"/>
      <c r="AS40" s="346"/>
      <c r="AT40" s="252"/>
      <c r="AU40" s="183"/>
      <c r="AV40" s="185"/>
      <c r="AW40" s="167"/>
      <c r="AX40" s="167"/>
      <c r="AY40" s="167"/>
      <c r="BB40" s="338"/>
      <c r="BC40" s="335"/>
      <c r="BD40" s="336"/>
      <c r="BE40" s="336"/>
      <c r="BF40" s="336"/>
      <c r="BG40" s="336"/>
      <c r="BH40" s="336"/>
      <c r="BI40" s="336"/>
      <c r="BJ40" s="336"/>
      <c r="BK40" s="336"/>
      <c r="BL40" s="336"/>
      <c r="BM40" s="336"/>
      <c r="BN40" s="170"/>
      <c r="BO40" s="170"/>
      <c r="BP40" s="170"/>
      <c r="BQ40" s="170"/>
    </row>
    <row r="41" spans="1:69" s="168" customFormat="1" ht="20.100000000000001" customHeight="1" x14ac:dyDescent="0.3">
      <c r="A41" s="171"/>
      <c r="B41" s="171"/>
      <c r="C41" s="147"/>
      <c r="D41" s="149"/>
      <c r="E41" s="172"/>
      <c r="F41" s="147"/>
      <c r="G41" s="147"/>
      <c r="H41" s="147"/>
      <c r="I41" s="147"/>
      <c r="J41" s="147"/>
      <c r="K41" s="147"/>
      <c r="L41" s="147"/>
      <c r="M41" s="147"/>
      <c r="N41" s="345"/>
      <c r="O41" s="147"/>
      <c r="P41" s="213"/>
      <c r="Q41" s="147"/>
      <c r="R41" s="213"/>
      <c r="S41" s="149"/>
      <c r="T41" s="249"/>
      <c r="U41" s="147"/>
      <c r="V41" s="200"/>
      <c r="W41" s="147"/>
      <c r="X41" s="200"/>
      <c r="Y41" s="147"/>
      <c r="Z41" s="147"/>
      <c r="AA41" s="147"/>
      <c r="AB41" s="415"/>
      <c r="AC41" s="180">
        <v>20</v>
      </c>
      <c r="AD41" s="409"/>
      <c r="AE41" s="200"/>
      <c r="AF41" s="312"/>
      <c r="AG41" s="312"/>
      <c r="AH41" s="147"/>
      <c r="AI41" s="171"/>
      <c r="AJ41" s="147"/>
      <c r="AK41" s="171"/>
      <c r="AL41" s="171"/>
      <c r="AM41" s="171"/>
      <c r="AN41" s="206"/>
      <c r="AO41" s="171"/>
      <c r="AP41" s="171"/>
      <c r="AQ41" s="171"/>
      <c r="AR41" s="171"/>
      <c r="AS41" s="348"/>
      <c r="AT41" s="349"/>
      <c r="AU41" s="258"/>
      <c r="AV41" s="254"/>
      <c r="AW41" s="167"/>
      <c r="AX41" s="167"/>
      <c r="AY41" s="167"/>
      <c r="BB41" s="338"/>
      <c r="BC41" s="335"/>
      <c r="BD41" s="336"/>
      <c r="BE41" s="336"/>
      <c r="BF41" s="336"/>
      <c r="BG41" s="336"/>
      <c r="BH41" s="336"/>
      <c r="BI41" s="336"/>
      <c r="BJ41" s="336"/>
      <c r="BK41" s="336"/>
      <c r="BL41" s="336"/>
      <c r="BM41" s="336"/>
      <c r="BN41" s="170"/>
      <c r="BO41" s="170"/>
      <c r="BP41" s="170"/>
      <c r="BQ41" s="170"/>
    </row>
    <row r="42" spans="1:69" s="168" customFormat="1" ht="20.100000000000001" customHeight="1" thickBot="1" x14ac:dyDescent="0.35">
      <c r="A42" s="171"/>
      <c r="B42" s="171"/>
      <c r="C42" s="147"/>
      <c r="D42" s="149"/>
      <c r="E42" s="323"/>
      <c r="F42" s="218"/>
      <c r="G42" s="281"/>
      <c r="H42" s="218"/>
      <c r="I42" s="218"/>
      <c r="J42" s="218"/>
      <c r="K42" s="218"/>
      <c r="L42" s="218"/>
      <c r="M42" s="218"/>
      <c r="N42" s="281"/>
      <c r="O42" s="218"/>
      <c r="P42" s="218"/>
      <c r="Q42" s="218"/>
      <c r="R42" s="218"/>
      <c r="S42" s="340"/>
      <c r="T42" s="280"/>
      <c r="U42" s="281"/>
      <c r="V42" s="218"/>
      <c r="W42" s="218"/>
      <c r="X42" s="218"/>
      <c r="Y42" s="218"/>
      <c r="Z42" s="218"/>
      <c r="AA42" s="218"/>
      <c r="AB42" s="416"/>
      <c r="AC42" s="227">
        <v>24</v>
      </c>
      <c r="AD42" s="410"/>
      <c r="AE42" s="277"/>
      <c r="AF42" s="218"/>
      <c r="AG42" s="218"/>
      <c r="AH42" s="281"/>
      <c r="AI42" s="218"/>
      <c r="AJ42" s="218"/>
      <c r="AK42" s="277"/>
      <c r="AL42" s="218"/>
      <c r="AM42" s="218"/>
      <c r="AN42" s="281"/>
      <c r="AO42" s="218"/>
      <c r="AP42" s="218"/>
      <c r="AQ42" s="218"/>
      <c r="AR42" s="218"/>
      <c r="AS42" s="350"/>
      <c r="AT42" s="351"/>
      <c r="AU42" s="285"/>
      <c r="AV42" s="327"/>
      <c r="AW42" s="167"/>
      <c r="AX42" s="167"/>
      <c r="AY42" s="167"/>
      <c r="BB42" s="334"/>
      <c r="BC42" s="335"/>
      <c r="BD42" s="336"/>
      <c r="BE42" s="336"/>
      <c r="BF42" s="336"/>
      <c r="BG42" s="336"/>
      <c r="BH42" s="336"/>
      <c r="BI42" s="336"/>
      <c r="BJ42" s="336"/>
      <c r="BK42" s="336"/>
      <c r="BL42" s="336"/>
      <c r="BM42" s="336"/>
      <c r="BN42" s="170"/>
      <c r="BO42" s="170"/>
      <c r="BP42" s="170"/>
      <c r="BQ42" s="170"/>
    </row>
    <row r="43" spans="1:69" s="168" customFormat="1" ht="20.100000000000001" customHeight="1" x14ac:dyDescent="0.3">
      <c r="A43" s="171"/>
      <c r="B43" s="171"/>
      <c r="C43" s="147"/>
      <c r="D43" s="149"/>
      <c r="E43" s="150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352"/>
      <c r="R43" s="151"/>
      <c r="S43" s="236"/>
      <c r="T43" s="353"/>
      <c r="U43" s="151"/>
      <c r="V43" s="151"/>
      <c r="W43" s="151"/>
      <c r="X43" s="155"/>
      <c r="Y43" s="151"/>
      <c r="Z43" s="151"/>
      <c r="AA43" s="151"/>
      <c r="AB43" s="411" t="s">
        <v>17</v>
      </c>
      <c r="AC43" s="161">
        <v>4</v>
      </c>
      <c r="AD43" s="408">
        <v>6</v>
      </c>
      <c r="AE43" s="152"/>
      <c r="AF43" s="152"/>
      <c r="AG43" s="162"/>
      <c r="AH43" s="152"/>
      <c r="AI43" s="152"/>
      <c r="AJ43" s="152"/>
      <c r="AK43" s="152"/>
      <c r="AL43" s="152"/>
      <c r="AM43" s="154"/>
      <c r="AN43" s="152"/>
      <c r="AO43" s="152"/>
      <c r="AP43" s="152"/>
      <c r="AQ43" s="152"/>
      <c r="AR43" s="152"/>
      <c r="AS43" s="354"/>
      <c r="AT43" s="164"/>
      <c r="AU43" s="163"/>
      <c r="AV43" s="165"/>
      <c r="AW43" s="167"/>
      <c r="AX43" s="167"/>
      <c r="AY43" s="167"/>
      <c r="BB43" s="338"/>
      <c r="BC43" s="335"/>
      <c r="BD43" s="336"/>
      <c r="BE43" s="336"/>
      <c r="BF43" s="336"/>
      <c r="BG43" s="336"/>
      <c r="BH43" s="336"/>
      <c r="BI43" s="336"/>
      <c r="BJ43" s="336"/>
      <c r="BK43" s="336"/>
      <c r="BL43" s="336"/>
      <c r="BM43" s="336"/>
      <c r="BN43" s="170"/>
      <c r="BO43" s="170"/>
      <c r="BP43" s="170"/>
      <c r="BQ43" s="170"/>
    </row>
    <row r="44" spans="1:69" s="168" customFormat="1" ht="20.100000000000001" customHeight="1" x14ac:dyDescent="0.3">
      <c r="A44" s="171"/>
      <c r="B44" s="171"/>
      <c r="C44" s="147"/>
      <c r="D44" s="355"/>
      <c r="E44" s="172"/>
      <c r="F44" s="147"/>
      <c r="G44" s="171"/>
      <c r="H44" s="171"/>
      <c r="I44" s="174"/>
      <c r="J44" s="171"/>
      <c r="K44" s="174"/>
      <c r="L44" s="171"/>
      <c r="M44" s="171"/>
      <c r="N44" s="171"/>
      <c r="O44" s="171"/>
      <c r="P44" s="213"/>
      <c r="Q44" s="147"/>
      <c r="R44" s="147"/>
      <c r="S44" s="149"/>
      <c r="T44" s="329"/>
      <c r="U44" s="356"/>
      <c r="V44" s="198"/>
      <c r="W44" s="171"/>
      <c r="X44" s="174"/>
      <c r="Y44" s="171"/>
      <c r="Z44" s="171"/>
      <c r="AA44" s="147"/>
      <c r="AB44" s="412"/>
      <c r="AC44" s="180">
        <v>8</v>
      </c>
      <c r="AD44" s="409"/>
      <c r="AE44" s="181"/>
      <c r="AF44" s="171"/>
      <c r="AG44" s="202"/>
      <c r="AH44" s="171"/>
      <c r="AI44" s="171"/>
      <c r="AJ44" s="198"/>
      <c r="AK44" s="171"/>
      <c r="AL44" s="171"/>
      <c r="AM44" s="171"/>
      <c r="AN44" s="171"/>
      <c r="AO44" s="171"/>
      <c r="AP44" s="171"/>
      <c r="AQ44" s="171"/>
      <c r="AR44" s="171"/>
      <c r="AS44" s="346"/>
      <c r="AT44" s="349"/>
      <c r="AU44" s="183"/>
      <c r="AV44" s="185"/>
      <c r="AW44" s="167"/>
      <c r="AX44" s="167"/>
      <c r="AY44" s="167"/>
      <c r="BB44" s="357"/>
      <c r="BC44" s="357"/>
      <c r="BD44" s="357"/>
      <c r="BE44" s="357"/>
      <c r="BF44" s="357"/>
      <c r="BG44" s="357"/>
      <c r="BH44" s="357"/>
      <c r="BI44" s="357"/>
      <c r="BJ44" s="357"/>
      <c r="BK44" s="357"/>
      <c r="BL44" s="357"/>
      <c r="BM44" s="357"/>
    </row>
    <row r="45" spans="1:69" s="168" customFormat="1" ht="20.100000000000001" customHeight="1" x14ac:dyDescent="0.3">
      <c r="A45" s="174"/>
      <c r="B45" s="171"/>
      <c r="C45" s="171"/>
      <c r="D45" s="313"/>
      <c r="E45" s="172"/>
      <c r="F45" s="147"/>
      <c r="G45" s="171"/>
      <c r="H45" s="171"/>
      <c r="I45" s="171"/>
      <c r="J45" s="171"/>
      <c r="K45" s="171"/>
      <c r="L45" s="171"/>
      <c r="M45" s="171"/>
      <c r="N45" s="171"/>
      <c r="O45" s="171"/>
      <c r="P45" s="312"/>
      <c r="Q45" s="147"/>
      <c r="R45" s="147"/>
      <c r="S45" s="149"/>
      <c r="T45" s="329"/>
      <c r="U45" s="356"/>
      <c r="V45" s="198"/>
      <c r="W45" s="171"/>
      <c r="X45" s="174"/>
      <c r="Y45" s="171"/>
      <c r="Z45" s="171"/>
      <c r="AA45" s="147"/>
      <c r="AB45" s="412"/>
      <c r="AC45" s="180">
        <v>12</v>
      </c>
      <c r="AD45" s="409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98"/>
      <c r="AQ45" s="171"/>
      <c r="AR45" s="171"/>
      <c r="AS45" s="346"/>
      <c r="AT45" s="349"/>
      <c r="AU45" s="183"/>
      <c r="AV45" s="185"/>
      <c r="AW45" s="167"/>
      <c r="AX45" s="167"/>
      <c r="AY45" s="167"/>
      <c r="BB45" s="357"/>
      <c r="BC45" s="357"/>
      <c r="BD45" s="357"/>
      <c r="BE45" s="357"/>
      <c r="BF45" s="357"/>
      <c r="BG45" s="357"/>
      <c r="BH45" s="357"/>
      <c r="BI45" s="357"/>
      <c r="BJ45" s="357"/>
      <c r="BK45" s="357"/>
      <c r="BL45" s="357"/>
      <c r="BM45" s="357"/>
    </row>
    <row r="46" spans="1:69" s="168" customFormat="1" ht="20.100000000000001" customHeight="1" x14ac:dyDescent="0.3">
      <c r="A46" s="171"/>
      <c r="B46" s="171"/>
      <c r="C46" s="171"/>
      <c r="D46" s="313"/>
      <c r="E46" s="172"/>
      <c r="F46" s="147"/>
      <c r="G46" s="171"/>
      <c r="H46" s="171"/>
      <c r="I46" s="174"/>
      <c r="J46" s="171"/>
      <c r="K46" s="174"/>
      <c r="L46" s="171"/>
      <c r="M46" s="171"/>
      <c r="N46" s="174"/>
      <c r="O46" s="171"/>
      <c r="P46" s="147"/>
      <c r="Q46" s="198"/>
      <c r="R46" s="147"/>
      <c r="S46" s="149"/>
      <c r="T46" s="329"/>
      <c r="U46" s="356"/>
      <c r="V46" s="198"/>
      <c r="W46" s="171"/>
      <c r="X46" s="174"/>
      <c r="Y46" s="171"/>
      <c r="Z46" s="171"/>
      <c r="AA46" s="147"/>
      <c r="AB46" s="412"/>
      <c r="AC46" s="180">
        <v>16</v>
      </c>
      <c r="AD46" s="409"/>
      <c r="AE46" s="171"/>
      <c r="AF46" s="171"/>
      <c r="AG46" s="171"/>
      <c r="AH46" s="174"/>
      <c r="AI46" s="182"/>
      <c r="AJ46" s="171"/>
      <c r="AK46" s="171"/>
      <c r="AL46" s="171"/>
      <c r="AM46" s="171"/>
      <c r="AN46" s="171"/>
      <c r="AO46" s="171"/>
      <c r="AP46" s="171"/>
      <c r="AQ46" s="171"/>
      <c r="AR46" s="171"/>
      <c r="AS46" s="183"/>
      <c r="AT46" s="349"/>
      <c r="AU46" s="183"/>
      <c r="AV46" s="185"/>
      <c r="AW46" s="167"/>
      <c r="AX46" s="167"/>
      <c r="AY46" s="167"/>
    </row>
    <row r="47" spans="1:69" s="168" customFormat="1" ht="20.100000000000001" customHeight="1" x14ac:dyDescent="0.3">
      <c r="A47" s="174"/>
      <c r="B47" s="174"/>
      <c r="C47" s="171"/>
      <c r="D47" s="313"/>
      <c r="E47" s="172"/>
      <c r="F47" s="147"/>
      <c r="G47" s="171"/>
      <c r="H47" s="174"/>
      <c r="I47" s="174"/>
      <c r="J47" s="174"/>
      <c r="K47" s="171"/>
      <c r="L47" s="174"/>
      <c r="M47" s="171"/>
      <c r="N47" s="171"/>
      <c r="O47" s="171"/>
      <c r="P47" s="200"/>
      <c r="Q47" s="147"/>
      <c r="R47" s="147"/>
      <c r="S47" s="149"/>
      <c r="T47" s="329"/>
      <c r="U47" s="356"/>
      <c r="V47" s="198"/>
      <c r="W47" s="171"/>
      <c r="X47" s="174"/>
      <c r="Y47" s="171"/>
      <c r="Z47" s="171"/>
      <c r="AA47" s="147"/>
      <c r="AB47" s="412"/>
      <c r="AC47" s="180">
        <v>20</v>
      </c>
      <c r="AD47" s="409"/>
      <c r="AE47" s="174"/>
      <c r="AF47" s="174"/>
      <c r="AG47" s="171"/>
      <c r="AH47" s="174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83"/>
      <c r="AT47" s="358"/>
      <c r="AU47" s="258"/>
      <c r="AV47" s="254"/>
      <c r="AW47" s="166"/>
      <c r="AX47" s="167"/>
      <c r="AY47" s="167"/>
    </row>
    <row r="48" spans="1:69" s="168" customFormat="1" ht="20.100000000000001" customHeight="1" thickBot="1" x14ac:dyDescent="0.35">
      <c r="A48" s="174"/>
      <c r="B48" s="171"/>
      <c r="C48" s="171"/>
      <c r="D48" s="313"/>
      <c r="E48" s="323"/>
      <c r="F48" s="218"/>
      <c r="G48" s="220"/>
      <c r="H48" s="219"/>
      <c r="I48" s="220"/>
      <c r="J48" s="220"/>
      <c r="K48" s="220"/>
      <c r="L48" s="221"/>
      <c r="M48" s="220"/>
      <c r="N48" s="220"/>
      <c r="O48" s="219"/>
      <c r="P48" s="281"/>
      <c r="Q48" s="219"/>
      <c r="R48" s="218"/>
      <c r="S48" s="359"/>
      <c r="T48" s="360"/>
      <c r="U48" s="220"/>
      <c r="V48" s="220"/>
      <c r="W48" s="361"/>
      <c r="X48" s="361"/>
      <c r="Y48" s="361"/>
      <c r="Z48" s="219"/>
      <c r="AA48" s="219"/>
      <c r="AB48" s="413"/>
      <c r="AC48" s="227">
        <v>24</v>
      </c>
      <c r="AD48" s="410"/>
      <c r="AE48" s="219"/>
      <c r="AF48" s="219"/>
      <c r="AG48" s="219"/>
      <c r="AH48" s="219"/>
      <c r="AI48" s="219"/>
      <c r="AJ48" s="219"/>
      <c r="AK48" s="219"/>
      <c r="AL48" s="219"/>
      <c r="AM48" s="219"/>
      <c r="AN48" s="220"/>
      <c r="AO48" s="219"/>
      <c r="AP48" s="219"/>
      <c r="AQ48" s="221"/>
      <c r="AR48" s="219"/>
      <c r="AS48" s="228"/>
      <c r="AT48" s="229"/>
      <c r="AU48" s="285"/>
      <c r="AV48" s="327"/>
      <c r="AW48" s="167"/>
      <c r="AX48" s="167"/>
      <c r="AY48" s="167"/>
    </row>
    <row r="49" spans="1:51" s="145" customFormat="1" ht="20.100000000000001" customHeight="1" x14ac:dyDescent="0.2">
      <c r="A49" s="138"/>
      <c r="B49" s="192">
        <v>591</v>
      </c>
      <c r="C49" s="192">
        <v>569</v>
      </c>
      <c r="D49" s="192">
        <v>543</v>
      </c>
      <c r="E49" s="362">
        <v>520</v>
      </c>
      <c r="F49" s="362">
        <v>496</v>
      </c>
      <c r="G49" s="362">
        <v>472</v>
      </c>
      <c r="H49" s="362">
        <v>448</v>
      </c>
      <c r="I49" s="362">
        <v>423</v>
      </c>
      <c r="J49" s="362">
        <v>400</v>
      </c>
      <c r="K49" s="362">
        <v>375</v>
      </c>
      <c r="L49" s="362">
        <v>350</v>
      </c>
      <c r="M49" s="362">
        <v>327</v>
      </c>
      <c r="N49" s="362">
        <v>303</v>
      </c>
      <c r="O49" s="362">
        <v>280</v>
      </c>
      <c r="P49" s="362">
        <v>250</v>
      </c>
      <c r="Q49" s="362">
        <v>224</v>
      </c>
      <c r="R49" s="362">
        <v>213</v>
      </c>
      <c r="S49" s="362">
        <v>190</v>
      </c>
      <c r="T49" s="362">
        <v>169</v>
      </c>
      <c r="U49" s="362">
        <v>146</v>
      </c>
      <c r="V49" s="362">
        <v>126</v>
      </c>
      <c r="W49" s="362">
        <v>104</v>
      </c>
      <c r="X49" s="362">
        <v>84</v>
      </c>
      <c r="Y49" s="362">
        <v>62</v>
      </c>
      <c r="Z49" s="362">
        <v>40</v>
      </c>
      <c r="AA49" s="362">
        <v>18</v>
      </c>
      <c r="AB49" s="362">
        <v>0</v>
      </c>
      <c r="AC49" s="363"/>
      <c r="AD49" s="364"/>
      <c r="AE49" s="362">
        <v>392</v>
      </c>
      <c r="AF49" s="362">
        <v>370</v>
      </c>
      <c r="AG49" s="362">
        <v>330</v>
      </c>
      <c r="AH49" s="362">
        <v>305</v>
      </c>
      <c r="AI49" s="362">
        <v>285</v>
      </c>
      <c r="AJ49" s="362">
        <v>265</v>
      </c>
      <c r="AK49" s="362">
        <v>240</v>
      </c>
      <c r="AL49" s="362">
        <v>220</v>
      </c>
      <c r="AM49" s="362">
        <v>198</v>
      </c>
      <c r="AN49" s="362">
        <v>175</v>
      </c>
      <c r="AO49" s="362">
        <v>152</v>
      </c>
      <c r="AP49" s="362">
        <v>150</v>
      </c>
      <c r="AQ49" s="362">
        <v>135</v>
      </c>
      <c r="AR49" s="362">
        <v>110</v>
      </c>
      <c r="AS49" s="362">
        <v>90</v>
      </c>
      <c r="AT49" s="362">
        <v>66</v>
      </c>
      <c r="AU49" s="362">
        <v>45</v>
      </c>
      <c r="AV49" s="362">
        <v>23</v>
      </c>
      <c r="AW49" s="134"/>
      <c r="AX49" s="144"/>
      <c r="AY49" s="144"/>
    </row>
    <row r="50" spans="1:51" s="136" customFormat="1" ht="20.100000000000001" customHeight="1" x14ac:dyDescent="0.2">
      <c r="A50" s="127" t="s">
        <v>18</v>
      </c>
      <c r="B50" s="127"/>
      <c r="C50" s="127"/>
      <c r="D50" s="127">
        <v>360</v>
      </c>
      <c r="E50" s="128"/>
      <c r="F50" s="128">
        <v>310</v>
      </c>
      <c r="G50" s="128"/>
      <c r="H50" s="128">
        <f>F50-50</f>
        <v>260</v>
      </c>
      <c r="I50" s="128"/>
      <c r="J50" s="128">
        <v>210</v>
      </c>
      <c r="K50" s="128"/>
      <c r="L50" s="128">
        <v>160</v>
      </c>
      <c r="M50" s="128"/>
      <c r="N50" s="128">
        <v>110</v>
      </c>
      <c r="O50" s="128"/>
      <c r="P50" s="128">
        <v>60</v>
      </c>
      <c r="Q50" s="128"/>
      <c r="R50" s="128">
        <v>50</v>
      </c>
      <c r="S50" s="128">
        <v>0</v>
      </c>
      <c r="T50" s="130">
        <v>190</v>
      </c>
      <c r="U50" s="130">
        <v>150</v>
      </c>
      <c r="V50" s="130"/>
      <c r="W50" s="130">
        <v>100</v>
      </c>
      <c r="X50" s="130"/>
      <c r="Y50" s="130">
        <v>50</v>
      </c>
      <c r="Z50" s="130"/>
      <c r="AA50" s="130">
        <v>0</v>
      </c>
      <c r="AB50" s="131" t="s">
        <v>0</v>
      </c>
      <c r="AC50" s="132" t="s">
        <v>1</v>
      </c>
      <c r="AD50" s="132" t="s">
        <v>2</v>
      </c>
      <c r="AE50" s="133">
        <v>400</v>
      </c>
      <c r="AF50" s="130"/>
      <c r="AG50" s="133">
        <v>350</v>
      </c>
      <c r="AH50" s="133"/>
      <c r="AI50" s="133">
        <v>300</v>
      </c>
      <c r="AJ50" s="133"/>
      <c r="AK50" s="133">
        <v>250</v>
      </c>
      <c r="AL50" s="133"/>
      <c r="AM50" s="133">
        <v>200</v>
      </c>
      <c r="AN50" s="133"/>
      <c r="AO50" s="133">
        <v>175</v>
      </c>
      <c r="AP50" s="133"/>
      <c r="AQ50" s="133">
        <v>150</v>
      </c>
      <c r="AR50" s="133"/>
      <c r="AS50" s="133">
        <v>100</v>
      </c>
      <c r="AT50" s="130"/>
      <c r="AU50" s="132">
        <v>50</v>
      </c>
      <c r="AV50" s="130">
        <v>0</v>
      </c>
      <c r="AW50" s="134"/>
      <c r="AX50" s="135"/>
      <c r="AY50" s="135"/>
    </row>
    <row r="51" spans="1:51" s="369" customFormat="1" ht="29.25" customHeight="1" x14ac:dyDescent="0.3">
      <c r="A51" s="365" t="s">
        <v>34</v>
      </c>
      <c r="B51" s="389" t="str">
        <f>C1 &amp; "/" &amp; E1</f>
        <v>31/2017</v>
      </c>
      <c r="C51" s="390"/>
      <c r="D51" s="390"/>
      <c r="E51" s="366"/>
      <c r="F51" s="366"/>
      <c r="G51" s="366"/>
      <c r="H51" s="367"/>
      <c r="I51" s="368"/>
      <c r="J51" s="368"/>
      <c r="K51" s="368"/>
      <c r="L51" s="391" t="s">
        <v>44</v>
      </c>
      <c r="M51" s="392"/>
      <c r="N51" s="392"/>
      <c r="O51" s="393"/>
      <c r="P51" s="368"/>
      <c r="Q51" s="394">
        <v>42948.578136574077</v>
      </c>
      <c r="R51" s="395"/>
      <c r="S51" s="395"/>
      <c r="T51" s="395"/>
      <c r="U51" s="395"/>
      <c r="V51" s="366"/>
      <c r="W51" s="367"/>
      <c r="X51" s="368"/>
      <c r="Y51" s="368"/>
      <c r="Z51" s="368"/>
      <c r="AA51" s="368"/>
      <c r="AB51" s="368"/>
      <c r="AC51" s="368"/>
      <c r="AD51" s="368"/>
      <c r="AE51" s="368"/>
      <c r="AF51" s="368"/>
      <c r="AG51" s="368"/>
      <c r="AH51" s="368"/>
      <c r="AI51" s="368"/>
      <c r="AJ51" s="368"/>
      <c r="AK51" s="368"/>
      <c r="AL51" s="368"/>
      <c r="AM51" s="368"/>
      <c r="AN51" s="368"/>
      <c r="AO51" s="192"/>
      <c r="AP51" s="192"/>
      <c r="AQ51" s="192"/>
      <c r="AR51" s="192"/>
    </row>
    <row r="52" spans="1:51" x14ac:dyDescent="0.2">
      <c r="A52" s="377"/>
      <c r="B52" s="377"/>
      <c r="C52" s="377"/>
      <c r="D52" s="377"/>
      <c r="E52" s="377"/>
      <c r="F52" s="377"/>
      <c r="G52" s="377"/>
      <c r="H52" s="377"/>
      <c r="I52" s="377"/>
      <c r="J52" s="377"/>
      <c r="K52" s="377"/>
      <c r="L52" s="377"/>
      <c r="M52" s="377"/>
      <c r="N52" s="377"/>
      <c r="O52" s="377"/>
      <c r="P52" s="377"/>
      <c r="Q52" s="377"/>
      <c r="R52" s="377"/>
      <c r="S52" s="377"/>
      <c r="T52" s="377"/>
      <c r="U52" s="377"/>
      <c r="V52" s="377"/>
      <c r="W52" s="377"/>
      <c r="X52" s="377"/>
      <c r="Y52" s="377"/>
      <c r="Z52" s="377"/>
      <c r="AA52" s="377"/>
      <c r="AB52" s="377"/>
      <c r="AC52" s="377"/>
      <c r="AD52" s="377"/>
      <c r="AE52" s="377"/>
      <c r="AF52" s="377"/>
      <c r="AG52" s="377"/>
      <c r="AH52" s="377"/>
      <c r="AI52" s="377"/>
      <c r="AJ52" s="377"/>
      <c r="AK52" s="377"/>
      <c r="AL52" s="377"/>
      <c r="AM52" s="377"/>
      <c r="AN52" s="377"/>
      <c r="AO52" s="377"/>
      <c r="AP52" s="377"/>
      <c r="AQ52" s="377"/>
      <c r="AR52" s="377"/>
    </row>
    <row r="53" spans="1:51" x14ac:dyDescent="0.2">
      <c r="A53" s="386" t="s">
        <v>52</v>
      </c>
      <c r="B53" s="388" t="s">
        <v>53</v>
      </c>
      <c r="C53" s="388"/>
      <c r="D53" s="388"/>
      <c r="E53" s="388"/>
      <c r="F53" s="388"/>
      <c r="G53" s="388" t="s">
        <v>54</v>
      </c>
      <c r="H53" s="388"/>
      <c r="I53" s="388">
        <v>1712</v>
      </c>
      <c r="J53" s="388"/>
      <c r="K53" s="398">
        <v>42946</v>
      </c>
      <c r="L53" s="398"/>
      <c r="M53" s="398">
        <v>42947</v>
      </c>
      <c r="N53" s="398"/>
      <c r="O53" s="388" t="s">
        <v>56</v>
      </c>
      <c r="P53" s="388"/>
      <c r="Q53" s="386" t="s">
        <v>57</v>
      </c>
      <c r="R53" s="386"/>
      <c r="S53" s="386" t="s">
        <v>58</v>
      </c>
      <c r="T53" s="386"/>
      <c r="U53" s="388">
        <v>255</v>
      </c>
      <c r="V53" s="388"/>
      <c r="W53" s="387"/>
      <c r="X53" s="388">
        <v>0</v>
      </c>
      <c r="Y53" s="388"/>
      <c r="Z53" s="388">
        <v>2300</v>
      </c>
      <c r="AA53" s="388"/>
      <c r="AB53" s="388"/>
      <c r="AC53" s="388"/>
      <c r="AD53" s="388">
        <v>3289</v>
      </c>
      <c r="AE53" s="388"/>
      <c r="AF53" s="388"/>
      <c r="AG53" s="388"/>
      <c r="AH53" s="388"/>
      <c r="AI53" s="388"/>
      <c r="AJ53" s="388"/>
      <c r="AK53" s="388"/>
      <c r="AL53" s="388"/>
      <c r="AM53" s="388"/>
      <c r="AN53" s="388">
        <v>0</v>
      </c>
      <c r="AO53" s="388"/>
      <c r="AP53" s="388" t="s">
        <v>55</v>
      </c>
      <c r="AQ53" s="388"/>
      <c r="AR53" s="388"/>
    </row>
    <row r="54" spans="1:51" ht="36" customHeigh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 s="396" t="s">
        <v>41</v>
      </c>
      <c r="AC54" s="397"/>
      <c r="AD54" s="417">
        <f>SUM(AD53:AD53)</f>
        <v>3289</v>
      </c>
      <c r="AE54" s="397"/>
      <c r="AF54" s="397"/>
      <c r="AG54" s="396" t="s">
        <v>42</v>
      </c>
      <c r="AH54" s="397"/>
      <c r="AI54" s="397"/>
      <c r="AJ54" s="376">
        <v>0</v>
      </c>
      <c r="AK54" s="396" t="s">
        <v>43</v>
      </c>
      <c r="AL54" s="397"/>
      <c r="AM54" s="397"/>
      <c r="AN54" s="376">
        <v>0</v>
      </c>
      <c r="AO54"/>
      <c r="AP54"/>
      <c r="AQ54"/>
      <c r="AR54"/>
    </row>
    <row r="55" spans="1:5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51" ht="36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5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5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5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5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5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5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5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5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 ht="36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</sheetData>
  <mergeCells count="39">
    <mergeCell ref="AB13:AB18"/>
    <mergeCell ref="AD13:AD18"/>
    <mergeCell ref="AB37:AB42"/>
    <mergeCell ref="AD37:AD42"/>
    <mergeCell ref="AG54:AI54"/>
    <mergeCell ref="AB19:AB24"/>
    <mergeCell ref="AD19:AD24"/>
    <mergeCell ref="AB25:AB30"/>
    <mergeCell ref="AD25:AD30"/>
    <mergeCell ref="AB31:AB36"/>
    <mergeCell ref="AD31:AD36"/>
    <mergeCell ref="AB43:AB48"/>
    <mergeCell ref="AD43:AD48"/>
    <mergeCell ref="AB54:AC54"/>
    <mergeCell ref="AD54:AF54"/>
    <mergeCell ref="A1:A2"/>
    <mergeCell ref="C1:D2"/>
    <mergeCell ref="E1:G2"/>
    <mergeCell ref="AB7:AB12"/>
    <mergeCell ref="AD7:AD12"/>
    <mergeCell ref="B51:D51"/>
    <mergeCell ref="L51:O51"/>
    <mergeCell ref="Q51:U51"/>
    <mergeCell ref="AK54:AM54"/>
    <mergeCell ref="B53:F53"/>
    <mergeCell ref="G53:H53"/>
    <mergeCell ref="I53:J53"/>
    <mergeCell ref="K53:L53"/>
    <mergeCell ref="M53:N53"/>
    <mergeCell ref="AK53:AM53"/>
    <mergeCell ref="O53:P53"/>
    <mergeCell ref="AN53:AO53"/>
    <mergeCell ref="AP53:AR53"/>
    <mergeCell ref="U53:V53"/>
    <mergeCell ref="X53:Y53"/>
    <mergeCell ref="Z53:AA53"/>
    <mergeCell ref="AB53:AC53"/>
    <mergeCell ref="AD53:AF53"/>
    <mergeCell ref="AG53:AJ53"/>
  </mergeCells>
  <printOptions horizontalCentered="1" verticalCentered="1"/>
  <pageMargins left="0.15" right="0.15" top="0.25" bottom="0.15" header="0.15" footer="0.15"/>
  <pageSetup paperSize="9" scale="4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9169" r:id="rId4" name="Button 1">
              <controlPr defaultSize="0" print="0" autoFill="0" autoPict="0" macro="[0]!main">
                <anchor moveWithCells="1" sizeWithCells="1">
                  <from>
                    <xdr:col>36</xdr:col>
                    <xdr:colOff>104775</xdr:colOff>
                    <xdr:row>0</xdr:row>
                    <xdr:rowOff>66675</xdr:rowOff>
                  </from>
                  <to>
                    <xdr:col>39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70" r:id="rId5" name="Button 2">
              <controlPr defaultSize="0" print="0" autoFill="0" autoPict="0" macro="[0]!clearVesselBackGroundColor">
                <anchor moveWithCells="1" sizeWithCells="1">
                  <from>
                    <xdr:col>39</xdr:col>
                    <xdr:colOff>38100</xdr:colOff>
                    <xdr:row>0</xdr:row>
                    <xdr:rowOff>57150</xdr:rowOff>
                  </from>
                  <to>
                    <xdr:col>41</xdr:col>
                    <xdr:colOff>219075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71" r:id="rId6" name="Button 3">
              <controlPr defaultSize="0" print="0" autoFill="0" autoPict="0" macro="[0]!setVesselBackGroundColor">
                <anchor moveWithCells="1" sizeWithCells="1">
                  <from>
                    <xdr:col>41</xdr:col>
                    <xdr:colOff>257175</xdr:colOff>
                    <xdr:row>0</xdr:row>
                    <xdr:rowOff>57150</xdr:rowOff>
                  </from>
                  <to>
                    <xdr:col>43</xdr:col>
                    <xdr:colOff>361950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72" r:id="rId7" name="DropDownType">
              <controlPr defaultSize="0" autoLine="0" autoPict="0" macro="[0]!filterVessel" altText="ALL_x000a_Only Vessel_x000a_Only Barge">
                <anchor moveWithCells="1">
                  <from>
                    <xdr:col>38</xdr:col>
                    <xdr:colOff>323850</xdr:colOff>
                    <xdr:row>50</xdr:row>
                    <xdr:rowOff>28575</xdr:rowOff>
                  </from>
                  <to>
                    <xdr:col>43</xdr:col>
                    <xdr:colOff>381000</xdr:colOff>
                    <xdr:row>50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Z500"/>
  <sheetViews>
    <sheetView zoomScale="70" zoomScaleNormal="70" workbookViewId="0">
      <pane ySplit="6" topLeftCell="A7" activePane="bottomLeft" state="frozen"/>
      <selection pane="bottomLeft" activeCell="Q23" sqref="Q23"/>
    </sheetView>
  </sheetViews>
  <sheetFormatPr defaultRowHeight="12.75" x14ac:dyDescent="0.2"/>
  <cols>
    <col min="1" max="1" width="12.42578125" customWidth="1"/>
    <col min="2" max="9" width="5.7109375" customWidth="1"/>
    <col min="10" max="10" width="7" customWidth="1"/>
    <col min="11" max="26" width="5.7109375" customWidth="1"/>
    <col min="27" max="27" width="6.5703125" style="18" customWidth="1"/>
    <col min="28" max="28" width="11.42578125" style="116" bestFit="1" customWidth="1"/>
    <col min="29" max="29" width="5.7109375" style="116" customWidth="1"/>
    <col min="30" max="43" width="5.7109375" customWidth="1"/>
    <col min="44" max="50" width="6" customWidth="1"/>
    <col min="51" max="55" width="10.28515625" customWidth="1"/>
    <col min="56" max="56" width="18.42578125" customWidth="1"/>
    <col min="57" max="58" width="19.85546875" customWidth="1"/>
  </cols>
  <sheetData>
    <row r="1" spans="1:78" ht="12.75" customHeight="1" x14ac:dyDescent="0.4">
      <c r="A1" s="430" t="s">
        <v>47</v>
      </c>
      <c r="B1" s="104"/>
      <c r="C1" s="424">
        <v>2017</v>
      </c>
      <c r="D1" s="425"/>
      <c r="E1" s="425"/>
      <c r="F1" s="426"/>
      <c r="G1" s="117"/>
      <c r="H1" s="121"/>
    </row>
    <row r="2" spans="1:78" ht="12.75" customHeight="1" thickBot="1" x14ac:dyDescent="0.45">
      <c r="A2" s="431"/>
      <c r="B2" s="105"/>
      <c r="C2" s="427"/>
      <c r="D2" s="428"/>
      <c r="E2" s="428"/>
      <c r="F2" s="429"/>
      <c r="G2" s="118"/>
      <c r="H2" s="121"/>
    </row>
    <row r="3" spans="1:78" ht="27" customHeight="1" x14ac:dyDescent="0.4">
      <c r="A3" s="432" t="s">
        <v>46</v>
      </c>
      <c r="B3" s="432"/>
      <c r="C3" s="119">
        <v>7</v>
      </c>
      <c r="D3" s="119">
        <v>30</v>
      </c>
      <c r="E3" s="120">
        <v>8</v>
      </c>
      <c r="F3" s="120">
        <v>5</v>
      </c>
      <c r="G3" s="433"/>
      <c r="H3" s="434"/>
      <c r="I3" s="434"/>
      <c r="J3" s="434"/>
      <c r="K3" s="434"/>
      <c r="L3" s="434"/>
      <c r="M3" s="434"/>
      <c r="N3" s="434"/>
      <c r="O3" s="434"/>
      <c r="P3" s="434"/>
      <c r="Q3" s="434"/>
    </row>
    <row r="4" spans="1:78" s="2" customFormat="1" ht="19.5" customHeight="1" x14ac:dyDescent="0.2">
      <c r="A4" s="16" t="s">
        <v>18</v>
      </c>
      <c r="B4" s="16">
        <v>410</v>
      </c>
      <c r="C4" s="16">
        <v>385</v>
      </c>
      <c r="D4" s="16">
        <v>360</v>
      </c>
      <c r="E4" s="11">
        <v>360</v>
      </c>
      <c r="F4" s="11">
        <v>310</v>
      </c>
      <c r="G4" s="11">
        <v>285</v>
      </c>
      <c r="H4" s="11">
        <f>F4-50</f>
        <v>260</v>
      </c>
      <c r="I4" s="11">
        <v>235</v>
      </c>
      <c r="J4" s="11">
        <v>210</v>
      </c>
      <c r="K4" s="11">
        <v>185</v>
      </c>
      <c r="L4" s="11">
        <v>160</v>
      </c>
      <c r="M4" s="11">
        <v>135</v>
      </c>
      <c r="N4" s="11">
        <v>110</v>
      </c>
      <c r="O4" s="11">
        <v>85</v>
      </c>
      <c r="P4" s="11">
        <v>60</v>
      </c>
      <c r="Q4" s="11">
        <v>55</v>
      </c>
      <c r="R4" s="11">
        <v>50</v>
      </c>
      <c r="S4" s="11">
        <v>0</v>
      </c>
      <c r="T4" s="12">
        <v>190</v>
      </c>
      <c r="U4" s="13">
        <v>150</v>
      </c>
      <c r="V4" s="13">
        <v>125</v>
      </c>
      <c r="W4" s="13">
        <v>100</v>
      </c>
      <c r="X4" s="13">
        <v>75</v>
      </c>
      <c r="Y4" s="13">
        <v>50</v>
      </c>
      <c r="Z4" s="13">
        <v>25</v>
      </c>
      <c r="AA4" s="13">
        <v>0</v>
      </c>
      <c r="AB4" s="17" t="s">
        <v>0</v>
      </c>
      <c r="AC4" s="14" t="s">
        <v>1</v>
      </c>
      <c r="AD4" s="14" t="s">
        <v>2</v>
      </c>
      <c r="AE4" s="15">
        <v>400</v>
      </c>
      <c r="AF4" s="13">
        <v>375</v>
      </c>
      <c r="AG4" s="15">
        <v>350</v>
      </c>
      <c r="AH4" s="15">
        <v>325</v>
      </c>
      <c r="AI4" s="15">
        <v>300</v>
      </c>
      <c r="AJ4" s="15">
        <v>275</v>
      </c>
      <c r="AK4" s="15">
        <v>250</v>
      </c>
      <c r="AL4" s="15">
        <v>225</v>
      </c>
      <c r="AM4" s="15">
        <v>200</v>
      </c>
      <c r="AN4" s="15">
        <v>190</v>
      </c>
      <c r="AO4" s="15">
        <v>175</v>
      </c>
      <c r="AP4" s="15">
        <v>160</v>
      </c>
      <c r="AQ4" s="15">
        <v>150</v>
      </c>
      <c r="AR4" s="15">
        <v>125</v>
      </c>
      <c r="AS4" s="15">
        <v>100</v>
      </c>
      <c r="AT4" s="13">
        <v>75</v>
      </c>
      <c r="AU4" s="14">
        <v>50</v>
      </c>
      <c r="AV4" s="13">
        <v>0</v>
      </c>
      <c r="AW4" s="19"/>
      <c r="AX4" s="9"/>
      <c r="AY4" s="9"/>
    </row>
    <row r="5" spans="1:78" s="2" customFormat="1" ht="20.100000000000001" customHeight="1" x14ac:dyDescent="0.2">
      <c r="A5" s="16" t="s">
        <v>3</v>
      </c>
      <c r="B5" s="16">
        <v>600</v>
      </c>
      <c r="C5" s="16"/>
      <c r="D5" s="16">
        <v>550</v>
      </c>
      <c r="E5" s="11"/>
      <c r="F5" s="11">
        <v>500</v>
      </c>
      <c r="G5" s="11"/>
      <c r="H5" s="11">
        <v>450</v>
      </c>
      <c r="I5" s="11"/>
      <c r="J5" s="11">
        <v>400</v>
      </c>
      <c r="K5" s="11"/>
      <c r="L5" s="11">
        <v>350</v>
      </c>
      <c r="M5" s="11"/>
      <c r="N5" s="11">
        <v>300</v>
      </c>
      <c r="O5" s="11"/>
      <c r="P5" s="11">
        <v>250</v>
      </c>
      <c r="Q5" s="11"/>
      <c r="R5" s="11"/>
      <c r="S5" s="11">
        <v>190</v>
      </c>
      <c r="T5" s="13"/>
      <c r="U5" s="13">
        <v>150</v>
      </c>
      <c r="V5" s="13"/>
      <c r="W5" s="13">
        <v>100</v>
      </c>
      <c r="X5" s="13"/>
      <c r="Y5" s="13">
        <v>50</v>
      </c>
      <c r="Z5" s="13"/>
      <c r="AA5" s="13">
        <v>0</v>
      </c>
      <c r="AB5" s="17" t="s">
        <v>0</v>
      </c>
      <c r="AC5" s="14" t="s">
        <v>1</v>
      </c>
      <c r="AD5" s="14" t="s">
        <v>2</v>
      </c>
      <c r="AE5" s="15">
        <v>400</v>
      </c>
      <c r="AF5" s="13"/>
      <c r="AG5" s="15">
        <v>350</v>
      </c>
      <c r="AH5" s="15"/>
      <c r="AI5" s="15">
        <v>300</v>
      </c>
      <c r="AJ5" s="15"/>
      <c r="AK5" s="15">
        <v>250</v>
      </c>
      <c r="AL5" s="15"/>
      <c r="AM5" s="15">
        <v>200</v>
      </c>
      <c r="AN5" s="15"/>
      <c r="AO5" s="15">
        <v>175</v>
      </c>
      <c r="AP5" s="15"/>
      <c r="AQ5" s="15">
        <v>150</v>
      </c>
      <c r="AR5" s="15"/>
      <c r="AS5" s="15">
        <v>100</v>
      </c>
      <c r="AT5" s="13"/>
      <c r="AU5" s="14">
        <v>50</v>
      </c>
      <c r="AV5" s="13">
        <v>0</v>
      </c>
      <c r="AW5" s="20"/>
      <c r="AX5" s="9"/>
      <c r="AY5" s="9"/>
    </row>
    <row r="6" spans="1:78" s="4" customFormat="1" ht="20.100000000000001" customHeight="1" thickBot="1" x14ac:dyDescent="0.25">
      <c r="A6" s="3"/>
      <c r="B6" s="10">
        <v>591</v>
      </c>
      <c r="C6" s="31">
        <v>569</v>
      </c>
      <c r="D6" s="10">
        <v>543</v>
      </c>
      <c r="E6" s="38">
        <v>520</v>
      </c>
      <c r="F6" s="38">
        <v>496</v>
      </c>
      <c r="G6" s="38">
        <v>472</v>
      </c>
      <c r="H6" s="38">
        <v>448</v>
      </c>
      <c r="I6" s="38">
        <v>423</v>
      </c>
      <c r="J6" s="38">
        <v>400</v>
      </c>
      <c r="K6" s="38">
        <v>375</v>
      </c>
      <c r="L6" s="38">
        <v>350</v>
      </c>
      <c r="M6" s="38">
        <v>327</v>
      </c>
      <c r="N6" s="38">
        <v>303</v>
      </c>
      <c r="O6" s="38">
        <v>280</v>
      </c>
      <c r="P6" s="38">
        <v>250</v>
      </c>
      <c r="Q6" s="38">
        <v>224</v>
      </c>
      <c r="R6" s="38">
        <v>213</v>
      </c>
      <c r="S6" s="38">
        <v>190</v>
      </c>
      <c r="T6" s="38">
        <v>169</v>
      </c>
      <c r="U6" s="38">
        <v>146</v>
      </c>
      <c r="V6" s="38">
        <v>126</v>
      </c>
      <c r="W6" s="38">
        <v>104</v>
      </c>
      <c r="X6" s="38">
        <v>84</v>
      </c>
      <c r="Y6" s="38">
        <v>62</v>
      </c>
      <c r="Z6" s="38">
        <v>40</v>
      </c>
      <c r="AA6" s="38">
        <v>18</v>
      </c>
      <c r="AB6" s="38">
        <v>0</v>
      </c>
      <c r="AC6" s="39"/>
      <c r="AD6" s="40"/>
      <c r="AE6" s="38">
        <v>394</v>
      </c>
      <c r="AF6" s="38">
        <v>372</v>
      </c>
      <c r="AG6" s="38">
        <v>350</v>
      </c>
      <c r="AH6" s="38">
        <v>330</v>
      </c>
      <c r="AI6" s="38">
        <v>305</v>
      </c>
      <c r="AJ6" s="38">
        <v>285</v>
      </c>
      <c r="AK6" s="38">
        <v>265</v>
      </c>
      <c r="AL6" s="38">
        <v>240</v>
      </c>
      <c r="AM6" s="38">
        <v>220</v>
      </c>
      <c r="AN6" s="38">
        <v>198</v>
      </c>
      <c r="AO6" s="38">
        <v>175</v>
      </c>
      <c r="AP6" s="38">
        <v>153</v>
      </c>
      <c r="AQ6" s="38">
        <v>133</v>
      </c>
      <c r="AR6" s="83">
        <v>110</v>
      </c>
      <c r="AS6" s="83">
        <v>90</v>
      </c>
      <c r="AT6" s="83">
        <v>66</v>
      </c>
      <c r="AU6" s="83">
        <v>23</v>
      </c>
      <c r="AV6" s="83">
        <v>0</v>
      </c>
      <c r="AW6" s="19"/>
      <c r="AX6" s="8"/>
      <c r="AY6" s="8"/>
    </row>
    <row r="7" spans="1:78" s="1" customFormat="1" ht="20.100000000000001" customHeight="1" x14ac:dyDescent="0.35">
      <c r="A7" s="33"/>
      <c r="B7" s="34"/>
      <c r="C7" s="35"/>
      <c r="D7" s="96"/>
      <c r="E7" s="97"/>
      <c r="F7" s="41"/>
      <c r="G7" s="42"/>
      <c r="H7" s="43"/>
      <c r="I7" s="44"/>
      <c r="J7" s="43"/>
      <c r="K7" s="44"/>
      <c r="L7" s="41"/>
      <c r="M7" s="45"/>
      <c r="N7" s="42"/>
      <c r="O7" s="46"/>
      <c r="P7" s="46"/>
      <c r="Q7" s="47"/>
      <c r="R7" s="48"/>
      <c r="S7" s="92"/>
      <c r="T7" s="87"/>
      <c r="U7" s="48"/>
      <c r="V7" s="48"/>
      <c r="W7" s="48"/>
      <c r="X7" s="48"/>
      <c r="Y7" s="48"/>
      <c r="Z7" s="48"/>
      <c r="AA7" s="48"/>
      <c r="AB7" s="418" t="s">
        <v>17</v>
      </c>
      <c r="AC7" s="49">
        <v>4</v>
      </c>
      <c r="AD7" s="421">
        <v>30</v>
      </c>
      <c r="AE7" s="42"/>
      <c r="AF7" s="42"/>
      <c r="AG7" s="50"/>
      <c r="AH7" s="50"/>
      <c r="AI7" s="42"/>
      <c r="AJ7" s="42"/>
      <c r="AK7" s="42"/>
      <c r="AL7" s="42"/>
      <c r="AM7" s="44"/>
      <c r="AN7" s="42"/>
      <c r="AO7" s="42"/>
      <c r="AP7" s="42"/>
      <c r="AQ7" s="42"/>
      <c r="AR7" s="384"/>
      <c r="AS7" s="384"/>
      <c r="AT7" s="385"/>
      <c r="AU7" s="384"/>
      <c r="AV7" s="384"/>
      <c r="AW7" s="6"/>
      <c r="AX7" s="5"/>
      <c r="AY7" s="5"/>
      <c r="BB7" s="24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</row>
    <row r="8" spans="1:78" s="1" customFormat="1" ht="20.100000000000001" customHeight="1" x14ac:dyDescent="0.35">
      <c r="A8" s="36"/>
      <c r="B8" s="34"/>
      <c r="C8" s="34"/>
      <c r="D8" s="96"/>
      <c r="E8" s="98"/>
      <c r="F8" s="51"/>
      <c r="G8" s="52"/>
      <c r="H8" s="53"/>
      <c r="I8" s="53"/>
      <c r="J8" s="53"/>
      <c r="K8" s="53"/>
      <c r="L8" s="54"/>
      <c r="M8" s="51"/>
      <c r="N8" s="55"/>
      <c r="O8" s="56"/>
      <c r="P8" s="57"/>
      <c r="Q8" s="58"/>
      <c r="R8" s="58"/>
      <c r="S8" s="93"/>
      <c r="T8" s="88"/>
      <c r="U8" s="58"/>
      <c r="V8" s="58"/>
      <c r="W8" s="58"/>
      <c r="X8" s="58"/>
      <c r="Y8" s="58"/>
      <c r="Z8" s="58"/>
      <c r="AA8" s="58"/>
      <c r="AB8" s="419"/>
      <c r="AC8" s="59">
        <v>8</v>
      </c>
      <c r="AD8" s="422"/>
      <c r="AE8" s="60"/>
      <c r="AF8" s="55"/>
      <c r="AG8" s="60"/>
      <c r="AH8" s="55"/>
      <c r="AI8" s="61"/>
      <c r="AJ8" s="55"/>
      <c r="AK8" s="55"/>
      <c r="AL8" s="55"/>
      <c r="AM8" s="55"/>
      <c r="AN8" s="55"/>
      <c r="AO8" s="55"/>
      <c r="AP8" s="55"/>
      <c r="AQ8" s="55"/>
      <c r="AR8" s="55"/>
      <c r="AS8" s="380"/>
      <c r="AT8" s="380"/>
      <c r="AU8" s="382"/>
      <c r="AV8" s="380"/>
      <c r="AW8" s="6"/>
      <c r="AX8" s="5"/>
      <c r="AY8" s="5"/>
      <c r="BB8" s="25"/>
      <c r="BC8" s="26"/>
      <c r="BD8" s="26"/>
      <c r="BE8" s="26"/>
      <c r="BF8" s="26"/>
      <c r="BG8" s="26"/>
      <c r="BH8" s="26"/>
      <c r="BI8" s="26"/>
      <c r="BJ8" s="26"/>
      <c r="BK8" s="23"/>
      <c r="BL8" s="23"/>
      <c r="BM8" s="23"/>
      <c r="BN8" s="23"/>
      <c r="BO8" s="23"/>
      <c r="BP8" s="23"/>
      <c r="BQ8" s="23"/>
    </row>
    <row r="9" spans="1:78" s="1" customFormat="1" ht="20.100000000000001" customHeight="1" x14ac:dyDescent="0.35">
      <c r="A9" s="33"/>
      <c r="B9" s="34"/>
      <c r="C9" s="34"/>
      <c r="D9" s="101"/>
      <c r="E9" s="99"/>
      <c r="F9" s="62"/>
      <c r="G9" s="63"/>
      <c r="H9" s="64"/>
      <c r="I9" s="63"/>
      <c r="J9" s="64"/>
      <c r="K9" s="64"/>
      <c r="L9" s="63"/>
      <c r="M9" s="63"/>
      <c r="N9" s="64"/>
      <c r="O9" s="65"/>
      <c r="P9" s="66"/>
      <c r="Q9" s="58"/>
      <c r="R9" s="67"/>
      <c r="S9" s="93"/>
      <c r="T9" s="89"/>
      <c r="U9" s="58"/>
      <c r="V9" s="58"/>
      <c r="W9" s="58"/>
      <c r="X9" s="58"/>
      <c r="Y9" s="58"/>
      <c r="Z9" s="58"/>
      <c r="AA9" s="68"/>
      <c r="AB9" s="419"/>
      <c r="AC9" s="59">
        <v>12</v>
      </c>
      <c r="AD9" s="422"/>
      <c r="AE9" s="55"/>
      <c r="AF9" s="55"/>
      <c r="AG9" s="55"/>
      <c r="AH9" s="55"/>
      <c r="AI9" s="69"/>
      <c r="AJ9" s="69"/>
      <c r="AK9" s="55"/>
      <c r="AL9" s="55"/>
      <c r="AM9" s="55"/>
      <c r="AN9" s="55"/>
      <c r="AO9" s="55"/>
      <c r="AP9" s="69"/>
      <c r="AQ9" s="55"/>
      <c r="AR9" s="55"/>
      <c r="AS9" s="380"/>
      <c r="AT9" s="381"/>
      <c r="AU9" s="380"/>
      <c r="AV9" s="380"/>
      <c r="AW9" s="6"/>
      <c r="AX9" s="5"/>
      <c r="AY9" s="5"/>
      <c r="BB9" s="26"/>
      <c r="BC9" s="26"/>
      <c r="BD9" s="26"/>
      <c r="BE9" s="26"/>
      <c r="BF9" s="26"/>
      <c r="BG9" s="26"/>
      <c r="BH9" s="26"/>
      <c r="BI9" s="26"/>
      <c r="BJ9" s="26"/>
      <c r="BK9" s="23"/>
      <c r="BL9" s="23"/>
      <c r="BM9" s="23"/>
      <c r="BN9" s="23"/>
      <c r="BO9" s="23"/>
      <c r="BP9" s="23"/>
      <c r="BQ9" s="23"/>
    </row>
    <row r="10" spans="1:78" s="1" customFormat="1" ht="20.100000000000001" customHeight="1" x14ac:dyDescent="0.35">
      <c r="A10" s="36"/>
      <c r="B10" s="34"/>
      <c r="C10" s="37"/>
      <c r="D10" s="96"/>
      <c r="E10" s="98"/>
      <c r="F10" s="51"/>
      <c r="G10" s="53"/>
      <c r="H10" s="53"/>
      <c r="I10" s="53"/>
      <c r="J10" s="53"/>
      <c r="K10" s="70"/>
      <c r="L10" s="54"/>
      <c r="M10" s="51"/>
      <c r="N10" s="55"/>
      <c r="O10" s="56"/>
      <c r="P10" s="57"/>
      <c r="Q10" s="58"/>
      <c r="R10" s="58"/>
      <c r="S10" s="93"/>
      <c r="T10" s="89"/>
      <c r="U10" s="58"/>
      <c r="V10" s="58"/>
      <c r="W10" s="58"/>
      <c r="X10" s="63"/>
      <c r="Y10" s="58"/>
      <c r="Z10" s="58"/>
      <c r="AA10" s="58"/>
      <c r="AB10" s="419"/>
      <c r="AC10" s="59">
        <v>16</v>
      </c>
      <c r="AD10" s="422"/>
      <c r="AE10" s="69"/>
      <c r="AF10" s="55"/>
      <c r="AG10" s="71"/>
      <c r="AH10" s="55"/>
      <c r="AI10" s="69"/>
      <c r="AJ10" s="55"/>
      <c r="AK10" s="55"/>
      <c r="AL10" s="55"/>
      <c r="AM10" s="55"/>
      <c r="AN10" s="55"/>
      <c r="AO10" s="55"/>
      <c r="AP10" s="55"/>
      <c r="AQ10" s="55"/>
      <c r="AR10" s="55"/>
      <c r="AS10" s="380"/>
      <c r="AT10" s="381"/>
      <c r="AU10" s="382"/>
      <c r="AV10" s="380"/>
      <c r="AW10" s="5"/>
      <c r="AX10" s="5"/>
      <c r="AY10" s="5"/>
      <c r="BB10" s="25"/>
      <c r="BC10" s="26" t="s">
        <v>20</v>
      </c>
      <c r="BD10" s="26"/>
      <c r="BE10" s="26"/>
      <c r="BF10" s="26"/>
      <c r="BG10" s="27"/>
      <c r="BH10" s="27"/>
      <c r="BI10" s="27"/>
      <c r="BJ10" s="27"/>
      <c r="BK10" s="23"/>
      <c r="BL10" s="23"/>
      <c r="BM10" s="23"/>
      <c r="BN10" s="23"/>
      <c r="BO10" s="23"/>
      <c r="BP10" s="23"/>
      <c r="BQ10" s="23"/>
    </row>
    <row r="11" spans="1:78" s="1" customFormat="1" ht="20.100000000000001" customHeight="1" x14ac:dyDescent="0.3">
      <c r="A11" s="36"/>
      <c r="B11" s="37"/>
      <c r="C11" s="37"/>
      <c r="D11" s="96"/>
      <c r="E11" s="99"/>
      <c r="F11" s="72"/>
      <c r="G11" s="71"/>
      <c r="H11" s="73"/>
      <c r="I11" s="71"/>
      <c r="J11" s="73"/>
      <c r="K11" s="63"/>
      <c r="L11" s="71"/>
      <c r="M11" s="69"/>
      <c r="N11" s="74"/>
      <c r="O11" s="69"/>
      <c r="P11" s="75"/>
      <c r="Q11" s="76"/>
      <c r="R11" s="57"/>
      <c r="S11" s="94"/>
      <c r="T11" s="90"/>
      <c r="U11" s="57"/>
      <c r="V11" s="57"/>
      <c r="W11" s="69"/>
      <c r="X11" s="77"/>
      <c r="Y11" s="57"/>
      <c r="Z11" s="78"/>
      <c r="AA11" s="78"/>
      <c r="AB11" s="419"/>
      <c r="AC11" s="59">
        <v>20</v>
      </c>
      <c r="AD11" s="422"/>
      <c r="AE11" s="69"/>
      <c r="AF11" s="53"/>
      <c r="AG11" s="55"/>
      <c r="AH11" s="61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380"/>
      <c r="AT11" s="380"/>
      <c r="AU11" s="383"/>
      <c r="AV11" s="383"/>
      <c r="AW11" s="5"/>
      <c r="AX11" s="5"/>
      <c r="AY11" s="5"/>
      <c r="BB11" s="26"/>
      <c r="BC11" s="26"/>
      <c r="BD11" s="26"/>
      <c r="BE11" s="26"/>
      <c r="BF11" s="26"/>
      <c r="BG11" s="27"/>
      <c r="BH11" s="27"/>
      <c r="BI11" s="27"/>
      <c r="BJ11" s="27"/>
      <c r="BK11" s="23"/>
      <c r="BL11" s="23"/>
      <c r="BM11" s="23"/>
      <c r="BN11" s="23"/>
      <c r="BO11" s="23"/>
      <c r="BP11" s="23"/>
      <c r="BQ11" s="23"/>
    </row>
    <row r="12" spans="1:78" s="1" customFormat="1" ht="24" thickBot="1" x14ac:dyDescent="0.4">
      <c r="A12" s="36"/>
      <c r="B12" s="34"/>
      <c r="C12" s="34"/>
      <c r="D12" s="96"/>
      <c r="E12" s="100"/>
      <c r="F12" s="79"/>
      <c r="G12" s="80"/>
      <c r="H12" s="80"/>
      <c r="I12" s="80"/>
      <c r="J12" s="80"/>
      <c r="K12" s="81"/>
      <c r="L12" s="79"/>
      <c r="M12" s="82"/>
      <c r="N12" s="82"/>
      <c r="O12" s="83"/>
      <c r="P12" s="82"/>
      <c r="Q12" s="82"/>
      <c r="R12" s="80"/>
      <c r="S12" s="95"/>
      <c r="T12" s="91"/>
      <c r="U12" s="84"/>
      <c r="V12" s="84"/>
      <c r="W12" s="84"/>
      <c r="X12" s="84"/>
      <c r="Y12" s="84"/>
      <c r="Z12" s="84"/>
      <c r="AA12" s="85"/>
      <c r="AB12" s="420"/>
      <c r="AC12" s="86">
        <v>24</v>
      </c>
      <c r="AD12" s="423"/>
      <c r="AE12" s="80"/>
      <c r="AF12" s="80"/>
      <c r="AG12" s="80"/>
      <c r="AH12" s="80"/>
      <c r="AI12" s="82"/>
      <c r="AJ12" s="80"/>
      <c r="AK12" s="80"/>
      <c r="AL12" s="80"/>
      <c r="AM12" s="80"/>
      <c r="AN12" s="81"/>
      <c r="AO12" s="80"/>
      <c r="AP12" s="80"/>
      <c r="AQ12" s="82"/>
      <c r="AR12" s="80"/>
      <c r="AS12" s="80"/>
      <c r="AT12" s="80"/>
      <c r="AU12" s="80"/>
      <c r="AV12" s="80"/>
      <c r="AW12" s="7"/>
      <c r="AX12" s="5"/>
      <c r="AY12" s="5"/>
      <c r="BB12" s="26"/>
      <c r="BC12" s="28"/>
      <c r="BD12" s="26"/>
      <c r="BE12" s="26"/>
      <c r="BF12" s="26"/>
      <c r="BG12" s="27"/>
      <c r="BH12" s="27"/>
      <c r="BI12" s="27"/>
      <c r="BJ12" s="27"/>
      <c r="BK12" s="23"/>
      <c r="BL12" s="23"/>
      <c r="BM12" s="23"/>
      <c r="BN12" s="23"/>
      <c r="BO12" s="23"/>
      <c r="BP12" s="23"/>
      <c r="BQ12" s="23"/>
    </row>
    <row r="13" spans="1:78" ht="23.25" x14ac:dyDescent="0.35">
      <c r="A13" s="33"/>
      <c r="B13" s="34"/>
      <c r="C13" s="35"/>
      <c r="D13" s="96"/>
      <c r="E13" s="97"/>
      <c r="F13" s="41"/>
      <c r="G13" s="42"/>
      <c r="H13" s="43"/>
      <c r="I13" s="44"/>
      <c r="J13" s="43"/>
      <c r="K13" s="44"/>
      <c r="L13" s="41"/>
      <c r="M13" s="45"/>
      <c r="N13" s="42"/>
      <c r="O13" s="46"/>
      <c r="P13" s="46"/>
      <c r="Q13" s="47"/>
      <c r="R13" s="48"/>
      <c r="S13" s="92"/>
      <c r="T13" s="87"/>
      <c r="U13" s="48"/>
      <c r="V13" s="48"/>
      <c r="W13" s="48"/>
      <c r="X13" s="48"/>
      <c r="Y13" s="48"/>
      <c r="Z13" s="48"/>
      <c r="AA13" s="48"/>
      <c r="AB13" s="418" t="s">
        <v>11</v>
      </c>
      <c r="AC13" s="49">
        <v>4</v>
      </c>
      <c r="AD13" s="421">
        <v>31</v>
      </c>
      <c r="AE13" s="42"/>
      <c r="AF13" s="42"/>
      <c r="AG13" s="50"/>
      <c r="AH13" s="50"/>
      <c r="AI13" s="42"/>
      <c r="AJ13" s="42"/>
      <c r="AK13" s="42"/>
      <c r="AL13" s="42"/>
      <c r="AM13" s="44"/>
      <c r="AN13" s="42"/>
      <c r="AO13" s="42"/>
      <c r="AP13" s="42"/>
      <c r="AQ13" s="42"/>
      <c r="AR13" s="384"/>
      <c r="AS13" s="384"/>
      <c r="AT13" s="385"/>
      <c r="AU13" s="384"/>
      <c r="AV13" s="384"/>
      <c r="AW13" s="6"/>
      <c r="AX13" s="5"/>
      <c r="AY13" s="5"/>
      <c r="AZ13" s="1"/>
      <c r="BA13" s="1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1"/>
      <c r="BS13" s="1"/>
      <c r="BT13" s="1"/>
      <c r="BU13" s="1"/>
      <c r="BV13" s="1"/>
      <c r="BW13" s="1"/>
      <c r="BX13" s="1"/>
      <c r="BY13" s="1"/>
      <c r="BZ13" s="1"/>
    </row>
    <row r="14" spans="1:78" ht="23.25" x14ac:dyDescent="0.35">
      <c r="A14" s="36"/>
      <c r="B14" s="34"/>
      <c r="C14" s="34"/>
      <c r="D14" s="96"/>
      <c r="E14" s="98"/>
      <c r="F14" s="51"/>
      <c r="G14" s="52"/>
      <c r="H14" s="53"/>
      <c r="I14" s="53"/>
      <c r="J14" s="53"/>
      <c r="K14" s="53"/>
      <c r="L14" s="54"/>
      <c r="M14" s="51"/>
      <c r="N14" s="55"/>
      <c r="O14" s="56"/>
      <c r="P14" s="57"/>
      <c r="Q14" s="58"/>
      <c r="R14" s="58"/>
      <c r="S14" s="93"/>
      <c r="T14" s="88"/>
      <c r="U14" s="58"/>
      <c r="V14" s="58"/>
      <c r="W14" s="58"/>
      <c r="X14" s="58"/>
      <c r="Y14" s="58"/>
      <c r="Z14" s="58"/>
      <c r="AA14" s="58"/>
      <c r="AB14" s="419"/>
      <c r="AC14" s="59">
        <v>8</v>
      </c>
      <c r="AD14" s="422"/>
      <c r="AE14" s="60"/>
      <c r="AF14" s="55"/>
      <c r="AG14" s="60"/>
      <c r="AH14" s="55"/>
      <c r="AI14" s="61"/>
      <c r="AJ14" s="55"/>
      <c r="AK14" s="55"/>
      <c r="AL14" s="55"/>
      <c r="AM14" s="55"/>
      <c r="AN14" s="55"/>
      <c r="AO14" s="55"/>
      <c r="AP14" s="55"/>
      <c r="AQ14" s="55"/>
      <c r="AR14" s="55"/>
      <c r="AS14" s="380"/>
      <c r="AT14" s="380"/>
      <c r="AU14" s="382"/>
      <c r="AV14" s="380"/>
      <c r="AW14" s="6"/>
      <c r="AX14" s="5"/>
      <c r="AY14" s="5"/>
      <c r="AZ14" s="1"/>
      <c r="BA14" s="1"/>
      <c r="BB14" s="25"/>
      <c r="BC14" s="26"/>
      <c r="BD14" s="26"/>
      <c r="BE14" s="26"/>
      <c r="BF14" s="26"/>
      <c r="BG14" s="26"/>
      <c r="BH14" s="26"/>
      <c r="BI14" s="26"/>
      <c r="BJ14" s="26"/>
      <c r="BK14" s="23"/>
      <c r="BL14" s="23"/>
      <c r="BM14" s="23"/>
      <c r="BN14" s="23"/>
      <c r="BO14" s="23"/>
      <c r="BP14" s="23"/>
      <c r="BQ14" s="23"/>
      <c r="BR14" s="1"/>
      <c r="BS14" s="1"/>
      <c r="BT14" s="1"/>
      <c r="BU14" s="1"/>
      <c r="BV14" s="1"/>
      <c r="BW14" s="1"/>
      <c r="BX14" s="1"/>
      <c r="BY14" s="1"/>
      <c r="BZ14" s="1"/>
    </row>
    <row r="15" spans="1:78" ht="23.25" x14ac:dyDescent="0.35">
      <c r="A15" s="33"/>
      <c r="B15" s="34"/>
      <c r="C15" s="34"/>
      <c r="D15" s="101"/>
      <c r="E15" s="99"/>
      <c r="F15" s="62"/>
      <c r="G15" s="63"/>
      <c r="H15" s="64"/>
      <c r="I15" s="63"/>
      <c r="J15" s="64"/>
      <c r="K15" s="64"/>
      <c r="L15" s="63"/>
      <c r="M15" s="63"/>
      <c r="N15" s="64"/>
      <c r="O15" s="65"/>
      <c r="P15" s="66"/>
      <c r="Q15" s="58"/>
      <c r="R15" s="67"/>
      <c r="S15" s="93"/>
      <c r="T15" s="89"/>
      <c r="U15" s="58"/>
      <c r="V15" s="58"/>
      <c r="W15" s="58"/>
      <c r="X15" s="58"/>
      <c r="Y15" s="58"/>
      <c r="Z15" s="58"/>
      <c r="AA15" s="68"/>
      <c r="AB15" s="419"/>
      <c r="AC15" s="59">
        <v>12</v>
      </c>
      <c r="AD15" s="422"/>
      <c r="AE15" s="55"/>
      <c r="AF15" s="55"/>
      <c r="AG15" s="55"/>
      <c r="AH15" s="55"/>
      <c r="AI15" s="69"/>
      <c r="AJ15" s="69"/>
      <c r="AK15" s="55"/>
      <c r="AL15" s="55"/>
      <c r="AM15" s="55"/>
      <c r="AN15" s="55"/>
      <c r="AO15" s="55"/>
      <c r="AP15" s="69"/>
      <c r="AQ15" s="55"/>
      <c r="AR15" s="55"/>
      <c r="AS15" s="380"/>
      <c r="AT15" s="381"/>
      <c r="AU15" s="380"/>
      <c r="AV15" s="380"/>
      <c r="AW15" s="6"/>
      <c r="AX15" s="5"/>
      <c r="AY15" s="5"/>
      <c r="AZ15" s="1"/>
      <c r="BA15" s="1"/>
      <c r="BB15" s="26"/>
      <c r="BC15" s="26"/>
      <c r="BD15" s="26"/>
      <c r="BE15" s="26"/>
      <c r="BF15" s="26"/>
      <c r="BG15" s="26"/>
      <c r="BH15" s="26"/>
      <c r="BI15" s="26"/>
      <c r="BJ15" s="26"/>
      <c r="BK15" s="23"/>
      <c r="BL15" s="23"/>
      <c r="BM15" s="23"/>
      <c r="BN15" s="23"/>
      <c r="BO15" s="23"/>
      <c r="BP15" s="23"/>
      <c r="BQ15" s="23"/>
      <c r="BR15" s="1"/>
      <c r="BS15" s="1"/>
      <c r="BT15" s="1"/>
      <c r="BU15" s="1"/>
      <c r="BV15" s="1"/>
      <c r="BW15" s="1"/>
      <c r="BX15" s="1"/>
      <c r="BY15" s="1"/>
      <c r="BZ15" s="1"/>
    </row>
    <row r="16" spans="1:78" ht="23.25" x14ac:dyDescent="0.35">
      <c r="A16" s="36"/>
      <c r="B16" s="34"/>
      <c r="C16" s="37"/>
      <c r="D16" s="96"/>
      <c r="E16" s="98"/>
      <c r="F16" s="51"/>
      <c r="G16" s="53"/>
      <c r="H16" s="53"/>
      <c r="I16" s="53"/>
      <c r="J16" s="53"/>
      <c r="K16" s="70"/>
      <c r="L16" s="54"/>
      <c r="M16" s="51"/>
      <c r="N16" s="55"/>
      <c r="O16" s="56"/>
      <c r="P16" s="57"/>
      <c r="Q16" s="58"/>
      <c r="R16" s="58"/>
      <c r="S16" s="93"/>
      <c r="T16" s="89"/>
      <c r="U16" s="58"/>
      <c r="V16" s="58"/>
      <c r="W16" s="58"/>
      <c r="X16" s="63"/>
      <c r="Y16" s="58"/>
      <c r="Z16" s="58"/>
      <c r="AA16" s="58"/>
      <c r="AB16" s="419"/>
      <c r="AC16" s="59">
        <v>16</v>
      </c>
      <c r="AD16" s="422"/>
      <c r="AE16" s="69"/>
      <c r="AF16" s="55"/>
      <c r="AG16" s="71"/>
      <c r="AH16" s="55"/>
      <c r="AI16" s="69"/>
      <c r="AJ16" s="55"/>
      <c r="AK16" s="55"/>
      <c r="AL16" s="55"/>
      <c r="AM16" s="55"/>
      <c r="AN16" s="55"/>
      <c r="AO16" s="55"/>
      <c r="AP16" s="55"/>
      <c r="AQ16" s="55"/>
      <c r="AR16" s="55"/>
      <c r="AS16" s="380"/>
      <c r="AT16" s="381"/>
      <c r="AU16" s="382"/>
      <c r="AV16" s="380"/>
      <c r="AW16" s="5"/>
      <c r="AX16" s="5"/>
      <c r="AY16" s="5"/>
      <c r="AZ16" s="1"/>
      <c r="BA16" s="1"/>
      <c r="BB16" s="25"/>
      <c r="BC16" s="26" t="s">
        <v>20</v>
      </c>
      <c r="BD16" s="26"/>
      <c r="BE16" s="26"/>
      <c r="BF16" s="26"/>
      <c r="BG16" s="27"/>
      <c r="BH16" s="27"/>
      <c r="BI16" s="27"/>
      <c r="BJ16" s="27"/>
      <c r="BK16" s="23"/>
      <c r="BL16" s="23"/>
      <c r="BM16" s="23"/>
      <c r="BN16" s="23"/>
      <c r="BO16" s="23"/>
      <c r="BP16" s="23"/>
      <c r="BQ16" s="23"/>
      <c r="BR16" s="1"/>
      <c r="BS16" s="1"/>
      <c r="BT16" s="1"/>
      <c r="BU16" s="1"/>
      <c r="BV16" s="1"/>
      <c r="BW16" s="1"/>
      <c r="BX16" s="1"/>
      <c r="BY16" s="1"/>
      <c r="BZ16" s="1"/>
    </row>
    <row r="17" spans="1:78" ht="20.25" x14ac:dyDescent="0.3">
      <c r="A17" s="36"/>
      <c r="B17" s="37"/>
      <c r="C17" s="37"/>
      <c r="D17" s="96"/>
      <c r="E17" s="99"/>
      <c r="F17" s="72"/>
      <c r="G17" s="71"/>
      <c r="H17" s="73"/>
      <c r="I17" s="71"/>
      <c r="J17" s="73"/>
      <c r="K17" s="63"/>
      <c r="L17" s="71"/>
      <c r="M17" s="69"/>
      <c r="N17" s="74"/>
      <c r="O17" s="69"/>
      <c r="P17" s="75"/>
      <c r="Q17" s="76"/>
      <c r="R17" s="57"/>
      <c r="S17" s="94"/>
      <c r="T17" s="90"/>
      <c r="U17" s="57"/>
      <c r="V17" s="57"/>
      <c r="W17" s="69"/>
      <c r="X17" s="77"/>
      <c r="Y17" s="57"/>
      <c r="Z17" s="78"/>
      <c r="AA17" s="78"/>
      <c r="AB17" s="419"/>
      <c r="AC17" s="59">
        <v>20</v>
      </c>
      <c r="AD17" s="422"/>
      <c r="AE17" s="69"/>
      <c r="AF17" s="53"/>
      <c r="AG17" s="55"/>
      <c r="AH17" s="61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380"/>
      <c r="AT17" s="380"/>
      <c r="AU17" s="383"/>
      <c r="AV17" s="383"/>
      <c r="AW17" s="5"/>
      <c r="AX17" s="5"/>
      <c r="AY17" s="5"/>
      <c r="AZ17" s="1"/>
      <c r="BA17" s="1"/>
      <c r="BB17" s="26"/>
      <c r="BC17" s="26"/>
      <c r="BD17" s="26"/>
      <c r="BE17" s="26"/>
      <c r="BF17" s="26"/>
      <c r="BG17" s="27"/>
      <c r="BH17" s="27"/>
      <c r="BI17" s="27"/>
      <c r="BJ17" s="27"/>
      <c r="BK17" s="23"/>
      <c r="BL17" s="23"/>
      <c r="BM17" s="23"/>
      <c r="BN17" s="23"/>
      <c r="BO17" s="23"/>
      <c r="BP17" s="23"/>
      <c r="BQ17" s="23"/>
      <c r="BR17" s="1"/>
      <c r="BS17" s="1"/>
      <c r="BT17" s="1"/>
      <c r="BU17" s="1"/>
      <c r="BV17" s="1"/>
      <c r="BW17" s="1"/>
      <c r="BX17" s="1"/>
      <c r="BY17" s="1"/>
      <c r="BZ17" s="1"/>
    </row>
    <row r="18" spans="1:78" ht="24" thickBot="1" x14ac:dyDescent="0.4">
      <c r="A18" s="36"/>
      <c r="B18" s="34"/>
      <c r="C18" s="34"/>
      <c r="D18" s="96"/>
      <c r="E18" s="100"/>
      <c r="F18" s="79"/>
      <c r="G18" s="80"/>
      <c r="H18" s="80"/>
      <c r="I18" s="80"/>
      <c r="J18" s="80"/>
      <c r="K18" s="81"/>
      <c r="L18" s="79"/>
      <c r="M18" s="82"/>
      <c r="N18" s="82"/>
      <c r="O18" s="83"/>
      <c r="P18" s="82"/>
      <c r="Q18" s="82"/>
      <c r="R18" s="80"/>
      <c r="S18" s="95"/>
      <c r="T18" s="91"/>
      <c r="U18" s="84"/>
      <c r="V18" s="84"/>
      <c r="W18" s="84"/>
      <c r="X18" s="84"/>
      <c r="Y18" s="84"/>
      <c r="Z18" s="84"/>
      <c r="AA18" s="85"/>
      <c r="AB18" s="420"/>
      <c r="AC18" s="86">
        <v>24</v>
      </c>
      <c r="AD18" s="423"/>
      <c r="AE18" s="80"/>
      <c r="AF18" s="80"/>
      <c r="AG18" s="80"/>
      <c r="AH18" s="80"/>
      <c r="AI18" s="82"/>
      <c r="AJ18" s="80"/>
      <c r="AK18" s="80"/>
      <c r="AL18" s="80"/>
      <c r="AM18" s="80"/>
      <c r="AN18" s="81"/>
      <c r="AO18" s="80"/>
      <c r="AP18" s="80"/>
      <c r="AQ18" s="82"/>
      <c r="AR18" s="80"/>
      <c r="AS18" s="80"/>
      <c r="AT18" s="80"/>
      <c r="AU18" s="80"/>
      <c r="AV18" s="80"/>
      <c r="AW18" s="7"/>
      <c r="AX18" s="5"/>
      <c r="AY18" s="5"/>
      <c r="AZ18" s="1"/>
      <c r="BA18" s="1"/>
      <c r="BB18" s="26"/>
      <c r="BC18" s="28"/>
      <c r="BD18" s="26"/>
      <c r="BE18" s="26"/>
      <c r="BF18" s="26"/>
      <c r="BG18" s="27"/>
      <c r="BH18" s="27"/>
      <c r="BI18" s="27"/>
      <c r="BJ18" s="27"/>
      <c r="BK18" s="23"/>
      <c r="BL18" s="23"/>
      <c r="BM18" s="23"/>
      <c r="BN18" s="23"/>
      <c r="BO18" s="23"/>
      <c r="BP18" s="23"/>
      <c r="BQ18" s="23"/>
      <c r="BR18" s="1"/>
      <c r="BS18" s="1"/>
      <c r="BT18" s="1"/>
      <c r="BU18" s="1"/>
      <c r="BV18" s="1"/>
      <c r="BW18" s="1"/>
      <c r="BX18" s="1"/>
      <c r="BY18" s="1"/>
      <c r="BZ18" s="1"/>
    </row>
    <row r="19" spans="1:78" ht="23.25" x14ac:dyDescent="0.35">
      <c r="A19" s="33"/>
      <c r="B19" s="34"/>
      <c r="C19" s="35"/>
      <c r="D19" s="96"/>
      <c r="E19" s="97"/>
      <c r="F19" s="41"/>
      <c r="G19" s="42"/>
      <c r="H19" s="43"/>
      <c r="I19" s="44"/>
      <c r="J19" s="43"/>
      <c r="K19" s="44"/>
      <c r="L19" s="41"/>
      <c r="M19" s="45"/>
      <c r="N19" s="42"/>
      <c r="O19" s="46"/>
      <c r="P19" s="46"/>
      <c r="Q19" s="47"/>
      <c r="R19" s="48"/>
      <c r="S19" s="92"/>
      <c r="T19" s="87"/>
      <c r="U19" s="48"/>
      <c r="V19" s="48"/>
      <c r="W19" s="48"/>
      <c r="X19" s="48"/>
      <c r="Y19" s="48"/>
      <c r="Z19" s="48"/>
      <c r="AA19" s="48"/>
      <c r="AB19" s="418" t="s">
        <v>12</v>
      </c>
      <c r="AC19" s="49">
        <v>4</v>
      </c>
      <c r="AD19" s="421">
        <v>1</v>
      </c>
      <c r="AE19" s="42"/>
      <c r="AF19" s="42"/>
      <c r="AG19" s="50"/>
      <c r="AH19" s="50"/>
      <c r="AI19" s="42"/>
      <c r="AJ19" s="42"/>
      <c r="AK19" s="42"/>
      <c r="AL19" s="42"/>
      <c r="AM19" s="44"/>
      <c r="AN19" s="42"/>
      <c r="AO19" s="42"/>
      <c r="AP19" s="42"/>
      <c r="AQ19" s="42"/>
      <c r="AR19" s="384"/>
      <c r="AS19" s="384"/>
      <c r="AT19" s="385"/>
      <c r="AU19" s="384"/>
      <c r="AV19" s="384"/>
      <c r="AW19" s="6"/>
      <c r="AX19" s="5"/>
      <c r="AY19" s="5"/>
      <c r="AZ19" s="1"/>
      <c r="BA19" s="1"/>
      <c r="BB19" s="24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1"/>
      <c r="BS19" s="1"/>
      <c r="BT19" s="1"/>
      <c r="BU19" s="1"/>
      <c r="BV19" s="1"/>
      <c r="BW19" s="1"/>
      <c r="BX19" s="1"/>
      <c r="BY19" s="1"/>
      <c r="BZ19" s="1"/>
    </row>
    <row r="20" spans="1:78" ht="23.25" x14ac:dyDescent="0.35">
      <c r="A20" s="36"/>
      <c r="B20" s="34"/>
      <c r="C20" s="34"/>
      <c r="D20" s="96"/>
      <c r="E20" s="98"/>
      <c r="F20" s="51"/>
      <c r="G20" s="52"/>
      <c r="H20" s="53"/>
      <c r="I20" s="53"/>
      <c r="J20" s="53"/>
      <c r="K20" s="53"/>
      <c r="L20" s="54"/>
      <c r="M20" s="51"/>
      <c r="N20" s="55"/>
      <c r="O20" s="56"/>
      <c r="P20" s="57"/>
      <c r="Q20" s="58"/>
      <c r="R20" s="58"/>
      <c r="S20" s="93"/>
      <c r="T20" s="88"/>
      <c r="U20" s="58"/>
      <c r="V20" s="58"/>
      <c r="W20" s="58"/>
      <c r="X20" s="58"/>
      <c r="Y20" s="58"/>
      <c r="Z20" s="58"/>
      <c r="AA20" s="58"/>
      <c r="AB20" s="419"/>
      <c r="AC20" s="59">
        <v>8</v>
      </c>
      <c r="AD20" s="422"/>
      <c r="AE20" s="60"/>
      <c r="AF20" s="55"/>
      <c r="AG20" s="60"/>
      <c r="AH20" s="55"/>
      <c r="AI20" s="61"/>
      <c r="AJ20" s="55"/>
      <c r="AK20" s="55"/>
      <c r="AL20" s="55"/>
      <c r="AM20" s="55"/>
      <c r="AN20" s="55"/>
      <c r="AO20" s="55"/>
      <c r="AP20" s="55"/>
      <c r="AQ20" s="55"/>
      <c r="AR20" s="55"/>
      <c r="AS20" s="380"/>
      <c r="AT20" s="380"/>
      <c r="AU20" s="382"/>
      <c r="AV20" s="380"/>
      <c r="AW20" s="6"/>
      <c r="AX20" s="5"/>
      <c r="AY20" s="5"/>
      <c r="AZ20" s="1"/>
      <c r="BA20" s="1"/>
      <c r="BB20" s="25"/>
      <c r="BC20" s="26"/>
      <c r="BD20" s="26"/>
      <c r="BE20" s="26"/>
      <c r="BF20" s="26"/>
      <c r="BG20" s="26"/>
      <c r="BH20" s="26"/>
      <c r="BI20" s="26"/>
      <c r="BJ20" s="26"/>
      <c r="BK20" s="23"/>
      <c r="BL20" s="23"/>
      <c r="BM20" s="23"/>
      <c r="BN20" s="23"/>
      <c r="BO20" s="23"/>
      <c r="BP20" s="23"/>
      <c r="BQ20" s="23"/>
      <c r="BR20" s="1"/>
      <c r="BS20" s="1"/>
      <c r="BT20" s="1"/>
      <c r="BU20" s="1"/>
      <c r="BV20" s="1"/>
      <c r="BW20" s="1"/>
      <c r="BX20" s="1"/>
      <c r="BY20" s="1"/>
      <c r="BZ20" s="1"/>
    </row>
    <row r="21" spans="1:78" ht="23.25" x14ac:dyDescent="0.35">
      <c r="A21" s="33"/>
      <c r="B21" s="34"/>
      <c r="C21" s="34"/>
      <c r="D21" s="101"/>
      <c r="E21" s="99"/>
      <c r="F21" s="62"/>
      <c r="G21" s="63"/>
      <c r="H21" s="64"/>
      <c r="I21" s="63"/>
      <c r="J21" s="64"/>
      <c r="K21" s="64"/>
      <c r="L21" s="63"/>
      <c r="M21" s="63"/>
      <c r="N21" s="64"/>
      <c r="O21" s="65"/>
      <c r="P21" s="66"/>
      <c r="Q21" s="58"/>
      <c r="R21" s="67"/>
      <c r="S21" s="93"/>
      <c r="T21" s="89"/>
      <c r="U21" s="58"/>
      <c r="V21" s="58"/>
      <c r="W21" s="58"/>
      <c r="X21" s="58"/>
      <c r="Y21" s="58"/>
      <c r="Z21" s="58"/>
      <c r="AA21" s="68"/>
      <c r="AB21" s="419"/>
      <c r="AC21" s="59">
        <v>12</v>
      </c>
      <c r="AD21" s="422"/>
      <c r="AE21" s="55"/>
      <c r="AF21" s="55"/>
      <c r="AG21" s="55"/>
      <c r="AH21" s="55"/>
      <c r="AI21" s="69"/>
      <c r="AJ21" s="69"/>
      <c r="AK21" s="55"/>
      <c r="AL21" s="55"/>
      <c r="AM21" s="55"/>
      <c r="AN21" s="55"/>
      <c r="AO21" s="55"/>
      <c r="AP21" s="69"/>
      <c r="AQ21" s="55"/>
      <c r="AR21" s="55"/>
      <c r="AS21" s="380"/>
      <c r="AT21" s="381"/>
      <c r="AU21" s="380"/>
      <c r="AV21" s="380"/>
      <c r="AW21" s="6"/>
      <c r="AX21" s="5"/>
      <c r="AY21" s="5"/>
      <c r="AZ21" s="1"/>
      <c r="BA21" s="1"/>
      <c r="BB21" s="26"/>
      <c r="BC21" s="26"/>
      <c r="BD21" s="26"/>
      <c r="BE21" s="26"/>
      <c r="BF21" s="26"/>
      <c r="BG21" s="26"/>
      <c r="BH21" s="26"/>
      <c r="BI21" s="26"/>
      <c r="BJ21" s="26"/>
      <c r="BK21" s="23"/>
      <c r="BL21" s="23"/>
      <c r="BM21" s="23"/>
      <c r="BN21" s="23"/>
      <c r="BO21" s="23"/>
      <c r="BP21" s="23"/>
      <c r="BQ21" s="23"/>
      <c r="BR21" s="1"/>
      <c r="BS21" s="1"/>
      <c r="BT21" s="1"/>
      <c r="BU21" s="1"/>
      <c r="BV21" s="1"/>
      <c r="BW21" s="1"/>
      <c r="BX21" s="1"/>
      <c r="BY21" s="1"/>
      <c r="BZ21" s="1"/>
    </row>
    <row r="22" spans="1:78" ht="23.25" x14ac:dyDescent="0.35">
      <c r="A22" s="36"/>
      <c r="B22" s="34"/>
      <c r="C22" s="37"/>
      <c r="D22" s="96"/>
      <c r="E22" s="98"/>
      <c r="F22" s="51"/>
      <c r="G22" s="53"/>
      <c r="H22" s="53"/>
      <c r="I22" s="53"/>
      <c r="J22" s="53"/>
      <c r="K22" s="70"/>
      <c r="L22" s="54"/>
      <c r="M22" s="51"/>
      <c r="N22" s="55"/>
      <c r="O22" s="56"/>
      <c r="P22" s="57"/>
      <c r="Q22" s="58"/>
      <c r="R22" s="58"/>
      <c r="S22" s="93"/>
      <c r="T22" s="89"/>
      <c r="U22" s="58"/>
      <c r="V22" s="58"/>
      <c r="W22" s="58"/>
      <c r="X22" s="63"/>
      <c r="Y22" s="58"/>
      <c r="Z22" s="58"/>
      <c r="AA22" s="58"/>
      <c r="AB22" s="419"/>
      <c r="AC22" s="59">
        <v>16</v>
      </c>
      <c r="AD22" s="422"/>
      <c r="AE22" s="69"/>
      <c r="AF22" s="55"/>
      <c r="AG22" s="71"/>
      <c r="AH22" s="55"/>
      <c r="AI22" s="69"/>
      <c r="AJ22" s="55"/>
      <c r="AK22" s="55"/>
      <c r="AL22" s="55"/>
      <c r="AM22" s="55"/>
      <c r="AN22" s="55"/>
      <c r="AO22" s="55"/>
      <c r="AP22" s="55"/>
      <c r="AQ22" s="55"/>
      <c r="AR22" s="55"/>
      <c r="AS22" s="380"/>
      <c r="AT22" s="381"/>
      <c r="AU22" s="382"/>
      <c r="AV22" s="380"/>
      <c r="AW22" s="5"/>
      <c r="AX22" s="5"/>
      <c r="AY22" s="5"/>
      <c r="AZ22" s="1"/>
      <c r="BA22" s="1"/>
      <c r="BB22" s="25"/>
      <c r="BC22" s="26" t="s">
        <v>20</v>
      </c>
      <c r="BD22" s="26"/>
      <c r="BE22" s="26"/>
      <c r="BF22" s="26"/>
      <c r="BG22" s="27"/>
      <c r="BH22" s="27"/>
      <c r="BI22" s="27"/>
      <c r="BJ22" s="27"/>
      <c r="BK22" s="23"/>
      <c r="BL22" s="23"/>
      <c r="BM22" s="23"/>
      <c r="BN22" s="23"/>
      <c r="BO22" s="23"/>
      <c r="BP22" s="23"/>
      <c r="BQ22" s="23"/>
      <c r="BR22" s="1"/>
      <c r="BS22" s="1"/>
      <c r="BT22" s="1"/>
      <c r="BU22" s="1"/>
      <c r="BV22" s="1"/>
      <c r="BW22" s="1"/>
      <c r="BX22" s="1"/>
      <c r="BY22" s="1"/>
      <c r="BZ22" s="1"/>
    </row>
    <row r="23" spans="1:78" ht="20.25" x14ac:dyDescent="0.3">
      <c r="A23" s="36"/>
      <c r="B23" s="37"/>
      <c r="C23" s="37"/>
      <c r="D23" s="96"/>
      <c r="E23" s="99"/>
      <c r="F23" s="72"/>
      <c r="G23" s="71"/>
      <c r="H23" s="73"/>
      <c r="I23" s="71"/>
      <c r="J23" s="73"/>
      <c r="K23" s="63"/>
      <c r="L23" s="71"/>
      <c r="M23" s="69"/>
      <c r="N23" s="74"/>
      <c r="O23" s="69"/>
      <c r="P23" s="75"/>
      <c r="Q23" s="76"/>
      <c r="R23" s="57"/>
      <c r="S23" s="94"/>
      <c r="T23" s="90"/>
      <c r="U23" s="57"/>
      <c r="V23" s="57"/>
      <c r="W23" s="69"/>
      <c r="X23" s="77"/>
      <c r="Y23" s="57"/>
      <c r="Z23" s="78"/>
      <c r="AA23" s="78"/>
      <c r="AB23" s="419"/>
      <c r="AC23" s="59">
        <v>20</v>
      </c>
      <c r="AD23" s="422"/>
      <c r="AE23" s="69"/>
      <c r="AF23" s="53"/>
      <c r="AG23" s="55"/>
      <c r="AH23" s="61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380"/>
      <c r="AT23" s="380"/>
      <c r="AU23" s="383"/>
      <c r="AV23" s="383"/>
      <c r="AW23" s="5"/>
      <c r="AX23" s="5"/>
      <c r="AY23" s="5"/>
      <c r="AZ23" s="1"/>
      <c r="BA23" s="1"/>
      <c r="BB23" s="26"/>
      <c r="BC23" s="26"/>
      <c r="BD23" s="26"/>
      <c r="BE23" s="26"/>
      <c r="BF23" s="26"/>
      <c r="BG23" s="27"/>
      <c r="BH23" s="27"/>
      <c r="BI23" s="27"/>
      <c r="BJ23" s="27"/>
      <c r="BK23" s="23"/>
      <c r="BL23" s="23"/>
      <c r="BM23" s="23"/>
      <c r="BN23" s="23"/>
      <c r="BO23" s="23"/>
      <c r="BP23" s="23"/>
      <c r="BQ23" s="23"/>
      <c r="BR23" s="1"/>
      <c r="BS23" s="1"/>
      <c r="BT23" s="1"/>
      <c r="BU23" s="1"/>
      <c r="BV23" s="1"/>
      <c r="BW23" s="1"/>
      <c r="BX23" s="1"/>
      <c r="BY23" s="1"/>
      <c r="BZ23" s="1"/>
    </row>
    <row r="24" spans="1:78" ht="24" thickBot="1" x14ac:dyDescent="0.4">
      <c r="A24" s="36"/>
      <c r="B24" s="34"/>
      <c r="C24" s="34"/>
      <c r="D24" s="96"/>
      <c r="E24" s="100"/>
      <c r="F24" s="79"/>
      <c r="G24" s="80"/>
      <c r="H24" s="80"/>
      <c r="I24" s="80"/>
      <c r="J24" s="80"/>
      <c r="K24" s="81"/>
      <c r="L24" s="79"/>
      <c r="M24" s="82"/>
      <c r="N24" s="82"/>
      <c r="O24" s="83"/>
      <c r="P24" s="82"/>
      <c r="Q24" s="82"/>
      <c r="R24" s="80"/>
      <c r="S24" s="95"/>
      <c r="T24" s="91"/>
      <c r="U24" s="84"/>
      <c r="V24" s="84"/>
      <c r="W24" s="84"/>
      <c r="X24" s="84"/>
      <c r="Y24" s="84"/>
      <c r="Z24" s="84"/>
      <c r="AA24" s="85"/>
      <c r="AB24" s="420"/>
      <c r="AC24" s="86">
        <v>24</v>
      </c>
      <c r="AD24" s="423"/>
      <c r="AE24" s="80"/>
      <c r="AF24" s="80"/>
      <c r="AG24" s="80"/>
      <c r="AH24" s="80"/>
      <c r="AI24" s="82"/>
      <c r="AJ24" s="80"/>
      <c r="AK24" s="80"/>
      <c r="AL24" s="80"/>
      <c r="AM24" s="80"/>
      <c r="AN24" s="81"/>
      <c r="AO24" s="80"/>
      <c r="AP24" s="80"/>
      <c r="AQ24" s="82"/>
      <c r="AR24" s="80"/>
      <c r="AS24" s="80"/>
      <c r="AT24" s="80"/>
      <c r="AU24" s="80"/>
      <c r="AV24" s="80"/>
      <c r="AW24" s="7"/>
      <c r="AX24" s="5"/>
      <c r="AY24" s="5"/>
      <c r="AZ24" s="1"/>
      <c r="BA24" s="1"/>
      <c r="BB24" s="26"/>
      <c r="BC24" s="28"/>
      <c r="BD24" s="26"/>
      <c r="BE24" s="26"/>
      <c r="BF24" s="26"/>
      <c r="BG24" s="27"/>
      <c r="BH24" s="27"/>
      <c r="BI24" s="27"/>
      <c r="BJ24" s="27"/>
      <c r="BK24" s="23"/>
      <c r="BL24" s="23"/>
      <c r="BM24" s="23"/>
      <c r="BN24" s="23"/>
      <c r="BO24" s="23"/>
      <c r="BP24" s="23"/>
      <c r="BQ24" s="23"/>
      <c r="BR24" s="1"/>
      <c r="BS24" s="1"/>
      <c r="BT24" s="1"/>
      <c r="BU24" s="1"/>
      <c r="BV24" s="1"/>
      <c r="BW24" s="1"/>
      <c r="BX24" s="1"/>
      <c r="BY24" s="1"/>
      <c r="BZ24" s="1"/>
    </row>
    <row r="25" spans="1:78" ht="23.25" x14ac:dyDescent="0.35">
      <c r="A25" s="33"/>
      <c r="B25" s="34"/>
      <c r="C25" s="35"/>
      <c r="D25" s="96"/>
      <c r="E25" s="97"/>
      <c r="F25" s="41"/>
      <c r="G25" s="42"/>
      <c r="H25" s="43"/>
      <c r="I25" s="44"/>
      <c r="J25" s="43"/>
      <c r="K25" s="44"/>
      <c r="L25" s="41"/>
      <c r="M25" s="45"/>
      <c r="N25" s="42"/>
      <c r="O25" s="46"/>
      <c r="P25" s="46"/>
      <c r="Q25" s="47"/>
      <c r="R25" s="48"/>
      <c r="S25" s="92"/>
      <c r="T25" s="87"/>
      <c r="U25" s="48"/>
      <c r="V25" s="48"/>
      <c r="W25" s="48"/>
      <c r="X25" s="48"/>
      <c r="Y25" s="48"/>
      <c r="Z25" s="48"/>
      <c r="AA25" s="48"/>
      <c r="AB25" s="418" t="s">
        <v>13</v>
      </c>
      <c r="AC25" s="49">
        <v>4</v>
      </c>
      <c r="AD25" s="421">
        <v>2</v>
      </c>
      <c r="AE25" s="42"/>
      <c r="AF25" s="42"/>
      <c r="AG25" s="50"/>
      <c r="AH25" s="50"/>
      <c r="AI25" s="42"/>
      <c r="AJ25" s="42"/>
      <c r="AK25" s="42"/>
      <c r="AL25" s="42"/>
      <c r="AM25" s="44"/>
      <c r="AN25" s="42"/>
      <c r="AO25" s="42"/>
      <c r="AP25" s="42"/>
      <c r="AQ25" s="42"/>
      <c r="AR25" s="384"/>
      <c r="AS25" s="384"/>
      <c r="AT25" s="385"/>
      <c r="AU25" s="384"/>
      <c r="AV25" s="384"/>
      <c r="AW25" s="6"/>
      <c r="AX25" s="5"/>
      <c r="AY25" s="5"/>
      <c r="AZ25" s="1"/>
      <c r="BA25" s="1"/>
      <c r="BB25" s="24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1"/>
      <c r="BS25" s="1"/>
      <c r="BT25" s="1"/>
      <c r="BU25" s="1"/>
      <c r="BV25" s="1"/>
      <c r="BW25" s="1"/>
      <c r="BX25" s="1"/>
      <c r="BY25" s="1"/>
      <c r="BZ25" s="1"/>
    </row>
    <row r="26" spans="1:78" ht="23.25" x14ac:dyDescent="0.35">
      <c r="A26" s="36"/>
      <c r="B26" s="34"/>
      <c r="C26" s="34"/>
      <c r="D26" s="96"/>
      <c r="E26" s="98"/>
      <c r="F26" s="51"/>
      <c r="G26" s="52"/>
      <c r="H26" s="53"/>
      <c r="I26" s="53"/>
      <c r="J26" s="53"/>
      <c r="K26" s="53"/>
      <c r="L26" s="54"/>
      <c r="M26" s="51"/>
      <c r="N26" s="55"/>
      <c r="O26" s="56"/>
      <c r="P26" s="57"/>
      <c r="Q26" s="58"/>
      <c r="R26" s="58"/>
      <c r="S26" s="93"/>
      <c r="T26" s="88"/>
      <c r="U26" s="58"/>
      <c r="V26" s="58"/>
      <c r="W26" s="58"/>
      <c r="X26" s="58"/>
      <c r="Y26" s="58"/>
      <c r="Z26" s="58"/>
      <c r="AA26" s="58"/>
      <c r="AB26" s="419"/>
      <c r="AC26" s="59">
        <v>8</v>
      </c>
      <c r="AD26" s="422"/>
      <c r="AE26" s="60"/>
      <c r="AF26" s="55"/>
      <c r="AG26" s="60"/>
      <c r="AH26" s="55"/>
      <c r="AI26" s="61"/>
      <c r="AJ26" s="55"/>
      <c r="AK26" s="55"/>
      <c r="AL26" s="55"/>
      <c r="AM26" s="55"/>
      <c r="AN26" s="55"/>
      <c r="AO26" s="55"/>
      <c r="AP26" s="55"/>
      <c r="AQ26" s="55"/>
      <c r="AR26" s="55"/>
      <c r="AS26" s="380"/>
      <c r="AT26" s="380"/>
      <c r="AU26" s="382"/>
      <c r="AV26" s="380"/>
      <c r="AW26" s="6"/>
      <c r="AX26" s="5"/>
      <c r="AY26" s="5"/>
      <c r="AZ26" s="1"/>
      <c r="BA26" s="1"/>
      <c r="BB26" s="25"/>
      <c r="BC26" s="26"/>
      <c r="BD26" s="26"/>
      <c r="BE26" s="26"/>
      <c r="BF26" s="26"/>
      <c r="BG26" s="26"/>
      <c r="BH26" s="26"/>
      <c r="BI26" s="26"/>
      <c r="BJ26" s="26"/>
      <c r="BK26" s="23"/>
      <c r="BL26" s="23"/>
      <c r="BM26" s="23"/>
      <c r="BN26" s="23"/>
      <c r="BO26" s="23"/>
      <c r="BP26" s="23"/>
      <c r="BQ26" s="23"/>
      <c r="BR26" s="1"/>
      <c r="BS26" s="1"/>
      <c r="BT26" s="1"/>
      <c r="BU26" s="1"/>
      <c r="BV26" s="1"/>
      <c r="BW26" s="1"/>
      <c r="BX26" s="1"/>
      <c r="BY26" s="1"/>
      <c r="BZ26" s="1"/>
    </row>
    <row r="27" spans="1:78" ht="23.25" x14ac:dyDescent="0.35">
      <c r="A27" s="33"/>
      <c r="B27" s="34"/>
      <c r="C27" s="34"/>
      <c r="D27" s="101"/>
      <c r="E27" s="99"/>
      <c r="F27" s="62"/>
      <c r="G27" s="63"/>
      <c r="H27" s="64"/>
      <c r="I27" s="63"/>
      <c r="J27" s="64"/>
      <c r="K27" s="64"/>
      <c r="L27" s="63"/>
      <c r="M27" s="63"/>
      <c r="N27" s="64"/>
      <c r="O27" s="65"/>
      <c r="P27" s="66"/>
      <c r="Q27" s="58"/>
      <c r="R27" s="67"/>
      <c r="S27" s="93"/>
      <c r="T27" s="89"/>
      <c r="U27" s="58"/>
      <c r="V27" s="58"/>
      <c r="W27" s="58"/>
      <c r="X27" s="58"/>
      <c r="Y27" s="58"/>
      <c r="Z27" s="58"/>
      <c r="AA27" s="68"/>
      <c r="AB27" s="419"/>
      <c r="AC27" s="59">
        <v>12</v>
      </c>
      <c r="AD27" s="422"/>
      <c r="AE27" s="55"/>
      <c r="AF27" s="55"/>
      <c r="AG27" s="55"/>
      <c r="AH27" s="55"/>
      <c r="AI27" s="69"/>
      <c r="AJ27" s="69"/>
      <c r="AK27" s="55"/>
      <c r="AL27" s="55"/>
      <c r="AM27" s="55"/>
      <c r="AN27" s="55"/>
      <c r="AO27" s="55"/>
      <c r="AP27" s="69"/>
      <c r="AQ27" s="55"/>
      <c r="AR27" s="55"/>
      <c r="AS27" s="380"/>
      <c r="AT27" s="381"/>
      <c r="AU27" s="380"/>
      <c r="AV27" s="380"/>
      <c r="AW27" s="6"/>
      <c r="AX27" s="5"/>
      <c r="AY27" s="5"/>
      <c r="AZ27" s="1"/>
      <c r="BA27" s="1"/>
      <c r="BB27" s="26"/>
      <c r="BC27" s="26"/>
      <c r="BD27" s="26"/>
      <c r="BE27" s="26"/>
      <c r="BF27" s="26"/>
      <c r="BG27" s="26"/>
      <c r="BH27" s="26"/>
      <c r="BI27" s="26"/>
      <c r="BJ27" s="26"/>
      <c r="BK27" s="23"/>
      <c r="BL27" s="23"/>
      <c r="BM27" s="23"/>
      <c r="BN27" s="23"/>
      <c r="BO27" s="23"/>
      <c r="BP27" s="23"/>
      <c r="BQ27" s="23"/>
      <c r="BR27" s="1"/>
      <c r="BS27" s="1"/>
      <c r="BT27" s="1"/>
      <c r="BU27" s="1"/>
      <c r="BV27" s="1"/>
      <c r="BW27" s="1"/>
      <c r="BX27" s="1"/>
      <c r="BY27" s="1"/>
      <c r="BZ27" s="1"/>
    </row>
    <row r="28" spans="1:78" ht="23.25" x14ac:dyDescent="0.35">
      <c r="A28" s="36"/>
      <c r="B28" s="34"/>
      <c r="C28" s="37"/>
      <c r="D28" s="96"/>
      <c r="E28" s="98"/>
      <c r="F28" s="51"/>
      <c r="G28" s="53"/>
      <c r="H28" s="53"/>
      <c r="I28" s="53"/>
      <c r="J28" s="53"/>
      <c r="K28" s="70"/>
      <c r="L28" s="54"/>
      <c r="M28" s="51"/>
      <c r="N28" s="55"/>
      <c r="O28" s="56"/>
      <c r="P28" s="57"/>
      <c r="Q28" s="58"/>
      <c r="R28" s="58"/>
      <c r="S28" s="93"/>
      <c r="T28" s="89"/>
      <c r="U28" s="58"/>
      <c r="V28" s="58"/>
      <c r="W28" s="58"/>
      <c r="X28" s="63"/>
      <c r="Y28" s="58"/>
      <c r="Z28" s="58"/>
      <c r="AA28" s="58"/>
      <c r="AB28" s="419"/>
      <c r="AC28" s="59">
        <v>16</v>
      </c>
      <c r="AD28" s="422"/>
      <c r="AE28" s="69"/>
      <c r="AF28" s="55"/>
      <c r="AG28" s="71"/>
      <c r="AH28" s="55"/>
      <c r="AI28" s="69"/>
      <c r="AJ28" s="55"/>
      <c r="AK28" s="55"/>
      <c r="AL28" s="55"/>
      <c r="AM28" s="55"/>
      <c r="AN28" s="55"/>
      <c r="AO28" s="55"/>
      <c r="AP28" s="55"/>
      <c r="AQ28" s="55"/>
      <c r="AR28" s="55"/>
      <c r="AS28" s="380"/>
      <c r="AT28" s="381"/>
      <c r="AU28" s="382"/>
      <c r="AV28" s="380"/>
      <c r="AW28" s="5"/>
      <c r="AX28" s="5"/>
      <c r="AY28" s="5"/>
      <c r="AZ28" s="1"/>
      <c r="BA28" s="1"/>
      <c r="BB28" s="25"/>
      <c r="BC28" s="26" t="s">
        <v>20</v>
      </c>
      <c r="BD28" s="26"/>
      <c r="BE28" s="26"/>
      <c r="BF28" s="26"/>
      <c r="BG28" s="27"/>
      <c r="BH28" s="27"/>
      <c r="BI28" s="27"/>
      <c r="BJ28" s="27"/>
      <c r="BK28" s="23"/>
      <c r="BL28" s="23"/>
      <c r="BM28" s="23"/>
      <c r="BN28" s="23"/>
      <c r="BO28" s="23"/>
      <c r="BP28" s="23"/>
      <c r="BQ28" s="23"/>
      <c r="BR28" s="1"/>
      <c r="BS28" s="1"/>
      <c r="BT28" s="1"/>
      <c r="BU28" s="1"/>
      <c r="BV28" s="1"/>
      <c r="BW28" s="1"/>
      <c r="BX28" s="1"/>
      <c r="BY28" s="1"/>
      <c r="BZ28" s="1"/>
    </row>
    <row r="29" spans="1:78" ht="20.25" x14ac:dyDescent="0.3">
      <c r="A29" s="36"/>
      <c r="B29" s="37"/>
      <c r="C29" s="37"/>
      <c r="D29" s="96"/>
      <c r="E29" s="99"/>
      <c r="F29" s="72"/>
      <c r="G29" s="71"/>
      <c r="H29" s="73"/>
      <c r="I29" s="71"/>
      <c r="J29" s="73"/>
      <c r="K29" s="63"/>
      <c r="L29" s="71"/>
      <c r="M29" s="69"/>
      <c r="N29" s="74"/>
      <c r="O29" s="69"/>
      <c r="P29" s="75"/>
      <c r="Q29" s="76"/>
      <c r="R29" s="57"/>
      <c r="S29" s="94"/>
      <c r="T29" s="90"/>
      <c r="U29" s="57"/>
      <c r="V29" s="57"/>
      <c r="W29" s="69"/>
      <c r="X29" s="77"/>
      <c r="Y29" s="57"/>
      <c r="Z29" s="78"/>
      <c r="AA29" s="78"/>
      <c r="AB29" s="419"/>
      <c r="AC29" s="59">
        <v>20</v>
      </c>
      <c r="AD29" s="422"/>
      <c r="AE29" s="69"/>
      <c r="AF29" s="53"/>
      <c r="AG29" s="55"/>
      <c r="AH29" s="61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380"/>
      <c r="AT29" s="380"/>
      <c r="AU29" s="383"/>
      <c r="AV29" s="383"/>
      <c r="AW29" s="5"/>
      <c r="AX29" s="5"/>
      <c r="AY29" s="5"/>
      <c r="AZ29" s="1"/>
      <c r="BA29" s="1"/>
      <c r="BB29" s="26"/>
      <c r="BC29" s="26"/>
      <c r="BD29" s="26"/>
      <c r="BE29" s="26"/>
      <c r="BF29" s="26"/>
      <c r="BG29" s="27"/>
      <c r="BH29" s="27"/>
      <c r="BI29" s="27"/>
      <c r="BJ29" s="27"/>
      <c r="BK29" s="23"/>
      <c r="BL29" s="23"/>
      <c r="BM29" s="23"/>
      <c r="BN29" s="23"/>
      <c r="BO29" s="23"/>
      <c r="BP29" s="23"/>
      <c r="BQ29" s="23"/>
      <c r="BR29" s="1"/>
      <c r="BS29" s="1"/>
      <c r="BT29" s="1"/>
      <c r="BU29" s="1"/>
      <c r="BV29" s="1"/>
      <c r="BW29" s="1"/>
      <c r="BX29" s="1"/>
      <c r="BY29" s="1"/>
      <c r="BZ29" s="1"/>
    </row>
    <row r="30" spans="1:78" ht="24" thickBot="1" x14ac:dyDescent="0.4">
      <c r="A30" s="36"/>
      <c r="B30" s="34"/>
      <c r="C30" s="34"/>
      <c r="D30" s="96"/>
      <c r="E30" s="100"/>
      <c r="F30" s="79"/>
      <c r="G30" s="80"/>
      <c r="H30" s="80"/>
      <c r="I30" s="80"/>
      <c r="J30" s="80"/>
      <c r="K30" s="81"/>
      <c r="L30" s="79"/>
      <c r="M30" s="82"/>
      <c r="N30" s="82"/>
      <c r="O30" s="83"/>
      <c r="P30" s="82"/>
      <c r="Q30" s="82"/>
      <c r="R30" s="80"/>
      <c r="S30" s="95"/>
      <c r="T30" s="91"/>
      <c r="U30" s="84"/>
      <c r="V30" s="84"/>
      <c r="W30" s="84"/>
      <c r="X30" s="84"/>
      <c r="Y30" s="84"/>
      <c r="Z30" s="84"/>
      <c r="AA30" s="85"/>
      <c r="AB30" s="420"/>
      <c r="AC30" s="86">
        <v>24</v>
      </c>
      <c r="AD30" s="423"/>
      <c r="AE30" s="80"/>
      <c r="AF30" s="80"/>
      <c r="AG30" s="80"/>
      <c r="AH30" s="80"/>
      <c r="AI30" s="82"/>
      <c r="AJ30" s="80"/>
      <c r="AK30" s="80"/>
      <c r="AL30" s="80"/>
      <c r="AM30" s="80"/>
      <c r="AN30" s="81"/>
      <c r="AO30" s="80"/>
      <c r="AP30" s="80"/>
      <c r="AQ30" s="82"/>
      <c r="AR30" s="80"/>
      <c r="AS30" s="80"/>
      <c r="AT30" s="80"/>
      <c r="AU30" s="80"/>
      <c r="AV30" s="80"/>
      <c r="AW30" s="7"/>
      <c r="AX30" s="5"/>
      <c r="AY30" s="5"/>
      <c r="AZ30" s="1"/>
      <c r="BA30" s="1"/>
      <c r="BB30" s="26"/>
      <c r="BC30" s="28"/>
      <c r="BD30" s="26"/>
      <c r="BE30" s="26"/>
      <c r="BF30" s="26"/>
      <c r="BG30" s="27"/>
      <c r="BH30" s="27"/>
      <c r="BI30" s="27"/>
      <c r="BJ30" s="27"/>
      <c r="BK30" s="23"/>
      <c r="BL30" s="23"/>
      <c r="BM30" s="23"/>
      <c r="BN30" s="23"/>
      <c r="BO30" s="23"/>
      <c r="BP30" s="23"/>
      <c r="BQ30" s="23"/>
      <c r="BR30" s="1"/>
      <c r="BS30" s="1"/>
      <c r="BT30" s="1"/>
      <c r="BU30" s="1"/>
      <c r="BV30" s="1"/>
      <c r="BW30" s="1"/>
      <c r="BX30" s="1"/>
      <c r="BY30" s="1"/>
      <c r="BZ30" s="1"/>
    </row>
    <row r="31" spans="1:78" ht="23.25" x14ac:dyDescent="0.35">
      <c r="A31" s="33"/>
      <c r="B31" s="34"/>
      <c r="C31" s="35"/>
      <c r="D31" s="96"/>
      <c r="E31" s="97"/>
      <c r="F31" s="41"/>
      <c r="G31" s="42"/>
      <c r="H31" s="43"/>
      <c r="I31" s="44"/>
      <c r="J31" s="43"/>
      <c r="K31" s="44"/>
      <c r="L31" s="41"/>
      <c r="M31" s="45"/>
      <c r="N31" s="42"/>
      <c r="O31" s="46"/>
      <c r="P31" s="46"/>
      <c r="Q31" s="47"/>
      <c r="R31" s="48"/>
      <c r="S31" s="92"/>
      <c r="T31" s="87"/>
      <c r="U31" s="48"/>
      <c r="V31" s="48"/>
      <c r="W31" s="48"/>
      <c r="X31" s="48"/>
      <c r="Y31" s="48"/>
      <c r="Z31" s="48"/>
      <c r="AA31" s="48"/>
      <c r="AB31" s="418" t="s">
        <v>14</v>
      </c>
      <c r="AC31" s="49">
        <v>4</v>
      </c>
      <c r="AD31" s="421">
        <v>3</v>
      </c>
      <c r="AE31" s="42"/>
      <c r="AF31" s="42"/>
      <c r="AG31" s="50"/>
      <c r="AH31" s="50"/>
      <c r="AI31" s="42"/>
      <c r="AJ31" s="42"/>
      <c r="AK31" s="42"/>
      <c r="AL31" s="42"/>
      <c r="AM31" s="44"/>
      <c r="AN31" s="42"/>
      <c r="AO31" s="42"/>
      <c r="AP31" s="42"/>
      <c r="AQ31" s="42"/>
      <c r="AR31" s="384"/>
      <c r="AS31" s="384"/>
      <c r="AT31" s="385"/>
      <c r="AU31" s="384"/>
      <c r="AV31" s="384"/>
      <c r="AW31" s="6"/>
      <c r="AX31" s="5"/>
      <c r="AY31" s="5"/>
      <c r="AZ31" s="1"/>
      <c r="BA31" s="1"/>
      <c r="BB31" s="24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1"/>
      <c r="BS31" s="1"/>
      <c r="BT31" s="1"/>
      <c r="BU31" s="1"/>
      <c r="BV31" s="1"/>
      <c r="BW31" s="1"/>
      <c r="BX31" s="1"/>
      <c r="BY31" s="1"/>
      <c r="BZ31" s="1"/>
    </row>
    <row r="32" spans="1:78" ht="23.25" x14ac:dyDescent="0.35">
      <c r="A32" s="36"/>
      <c r="B32" s="34"/>
      <c r="C32" s="34"/>
      <c r="D32" s="96"/>
      <c r="E32" s="98"/>
      <c r="F32" s="51"/>
      <c r="G32" s="52"/>
      <c r="H32" s="53"/>
      <c r="I32" s="53"/>
      <c r="J32" s="53"/>
      <c r="K32" s="53"/>
      <c r="L32" s="54"/>
      <c r="M32" s="51"/>
      <c r="N32" s="55"/>
      <c r="O32" s="56"/>
      <c r="P32" s="57"/>
      <c r="Q32" s="58"/>
      <c r="R32" s="58"/>
      <c r="S32" s="93"/>
      <c r="T32" s="88"/>
      <c r="U32" s="58"/>
      <c r="V32" s="58"/>
      <c r="W32" s="58"/>
      <c r="X32" s="58"/>
      <c r="Y32" s="58"/>
      <c r="Z32" s="58"/>
      <c r="AA32" s="58"/>
      <c r="AB32" s="419"/>
      <c r="AC32" s="59">
        <v>8</v>
      </c>
      <c r="AD32" s="422"/>
      <c r="AE32" s="60"/>
      <c r="AF32" s="55"/>
      <c r="AG32" s="60"/>
      <c r="AH32" s="55"/>
      <c r="AI32" s="61"/>
      <c r="AJ32" s="55"/>
      <c r="AK32" s="55"/>
      <c r="AL32" s="55"/>
      <c r="AM32" s="55"/>
      <c r="AN32" s="55"/>
      <c r="AO32" s="55"/>
      <c r="AP32" s="55"/>
      <c r="AQ32" s="55"/>
      <c r="AR32" s="55"/>
      <c r="AS32" s="380"/>
      <c r="AT32" s="380"/>
      <c r="AU32" s="382"/>
      <c r="AV32" s="380"/>
      <c r="AW32" s="6"/>
      <c r="AX32" s="5"/>
      <c r="AY32" s="5"/>
      <c r="AZ32" s="1"/>
      <c r="BA32" s="1"/>
      <c r="BB32" s="25"/>
      <c r="BC32" s="26"/>
      <c r="BD32" s="26"/>
      <c r="BE32" s="26"/>
      <c r="BF32" s="26"/>
      <c r="BG32" s="26"/>
      <c r="BH32" s="26"/>
      <c r="BI32" s="26"/>
      <c r="BJ32" s="26"/>
      <c r="BK32" s="23"/>
      <c r="BL32" s="23"/>
      <c r="BM32" s="23"/>
      <c r="BN32" s="23"/>
      <c r="BO32" s="23"/>
      <c r="BP32" s="23"/>
      <c r="BQ32" s="23"/>
      <c r="BR32" s="1"/>
      <c r="BS32" s="1"/>
      <c r="BT32" s="1"/>
      <c r="BU32" s="1"/>
      <c r="BV32" s="1"/>
      <c r="BW32" s="1"/>
      <c r="BX32" s="1"/>
      <c r="BY32" s="1"/>
      <c r="BZ32" s="1"/>
    </row>
    <row r="33" spans="1:78" ht="23.25" x14ac:dyDescent="0.35">
      <c r="A33" s="33"/>
      <c r="B33" s="34"/>
      <c r="C33" s="34"/>
      <c r="D33" s="101"/>
      <c r="E33" s="99"/>
      <c r="F33" s="62"/>
      <c r="G33" s="63"/>
      <c r="H33" s="64"/>
      <c r="I33" s="63"/>
      <c r="J33" s="64"/>
      <c r="K33" s="64"/>
      <c r="L33" s="63"/>
      <c r="M33" s="63"/>
      <c r="N33" s="64"/>
      <c r="O33" s="65"/>
      <c r="P33" s="66"/>
      <c r="Q33" s="58"/>
      <c r="R33" s="67"/>
      <c r="S33" s="93"/>
      <c r="T33" s="89"/>
      <c r="U33" s="58"/>
      <c r="V33" s="58"/>
      <c r="W33" s="58"/>
      <c r="X33" s="58"/>
      <c r="Y33" s="58"/>
      <c r="Z33" s="58"/>
      <c r="AA33" s="68"/>
      <c r="AB33" s="419"/>
      <c r="AC33" s="59">
        <v>12</v>
      </c>
      <c r="AD33" s="422"/>
      <c r="AE33" s="55"/>
      <c r="AF33" s="55"/>
      <c r="AG33" s="55"/>
      <c r="AH33" s="55"/>
      <c r="AI33" s="69"/>
      <c r="AJ33" s="69"/>
      <c r="AK33" s="55"/>
      <c r="AL33" s="55"/>
      <c r="AM33" s="55"/>
      <c r="AN33" s="55"/>
      <c r="AO33" s="55"/>
      <c r="AP33" s="69"/>
      <c r="AQ33" s="55"/>
      <c r="AR33" s="55"/>
      <c r="AS33" s="380"/>
      <c r="AT33" s="381"/>
      <c r="AU33" s="380"/>
      <c r="AV33" s="380"/>
      <c r="AW33" s="6"/>
      <c r="AX33" s="5"/>
      <c r="AY33" s="5"/>
      <c r="AZ33" s="1"/>
      <c r="BA33" s="1"/>
      <c r="BB33" s="26"/>
      <c r="BC33" s="26"/>
      <c r="BD33" s="26"/>
      <c r="BE33" s="26"/>
      <c r="BF33" s="26"/>
      <c r="BG33" s="26"/>
      <c r="BH33" s="26"/>
      <c r="BI33" s="26"/>
      <c r="BJ33" s="26"/>
      <c r="BK33" s="23"/>
      <c r="BL33" s="23"/>
      <c r="BM33" s="23"/>
      <c r="BN33" s="23"/>
      <c r="BO33" s="23"/>
      <c r="BP33" s="23"/>
      <c r="BQ33" s="23"/>
      <c r="BR33" s="1"/>
      <c r="BS33" s="1"/>
      <c r="BT33" s="1"/>
      <c r="BU33" s="1"/>
      <c r="BV33" s="1"/>
      <c r="BW33" s="1"/>
      <c r="BX33" s="1"/>
      <c r="BY33" s="1"/>
      <c r="BZ33" s="1"/>
    </row>
    <row r="34" spans="1:78" ht="23.25" x14ac:dyDescent="0.35">
      <c r="A34" s="36"/>
      <c r="B34" s="34"/>
      <c r="C34" s="37"/>
      <c r="D34" s="96"/>
      <c r="E34" s="98"/>
      <c r="F34" s="51"/>
      <c r="G34" s="53"/>
      <c r="H34" s="53"/>
      <c r="I34" s="53"/>
      <c r="J34" s="53"/>
      <c r="K34" s="70"/>
      <c r="L34" s="54"/>
      <c r="M34" s="51"/>
      <c r="N34" s="55"/>
      <c r="O34" s="56"/>
      <c r="P34" s="57"/>
      <c r="Q34" s="58"/>
      <c r="R34" s="58"/>
      <c r="S34" s="93"/>
      <c r="T34" s="89"/>
      <c r="U34" s="58"/>
      <c r="V34" s="58"/>
      <c r="W34" s="58"/>
      <c r="X34" s="63"/>
      <c r="Y34" s="58"/>
      <c r="Z34" s="58"/>
      <c r="AA34" s="58"/>
      <c r="AB34" s="419"/>
      <c r="AC34" s="59">
        <v>16</v>
      </c>
      <c r="AD34" s="422"/>
      <c r="AE34" s="69"/>
      <c r="AF34" s="55"/>
      <c r="AG34" s="71"/>
      <c r="AH34" s="55"/>
      <c r="AI34" s="69"/>
      <c r="AJ34" s="55"/>
      <c r="AK34" s="55"/>
      <c r="AL34" s="55"/>
      <c r="AM34" s="55"/>
      <c r="AN34" s="55"/>
      <c r="AO34" s="55"/>
      <c r="AP34" s="55"/>
      <c r="AQ34" s="55"/>
      <c r="AR34" s="55"/>
      <c r="AS34" s="380"/>
      <c r="AT34" s="381"/>
      <c r="AU34" s="382"/>
      <c r="AV34" s="380"/>
      <c r="AW34" s="5"/>
      <c r="AX34" s="5"/>
      <c r="AY34" s="5"/>
      <c r="AZ34" s="1"/>
      <c r="BA34" s="1"/>
      <c r="BB34" s="25"/>
      <c r="BC34" s="26" t="s">
        <v>20</v>
      </c>
      <c r="BD34" s="26"/>
      <c r="BE34" s="26"/>
      <c r="BF34" s="26"/>
      <c r="BG34" s="27"/>
      <c r="BH34" s="27"/>
      <c r="BI34" s="27"/>
      <c r="BJ34" s="27"/>
      <c r="BK34" s="23"/>
      <c r="BL34" s="23"/>
      <c r="BM34" s="23"/>
      <c r="BN34" s="23"/>
      <c r="BO34" s="23"/>
      <c r="BP34" s="23"/>
      <c r="BQ34" s="23"/>
      <c r="BR34" s="1"/>
      <c r="BS34" s="1"/>
      <c r="BT34" s="1"/>
      <c r="BU34" s="1"/>
      <c r="BV34" s="1"/>
      <c r="BW34" s="1"/>
      <c r="BX34" s="1"/>
      <c r="BY34" s="1"/>
      <c r="BZ34" s="1"/>
    </row>
    <row r="35" spans="1:78" ht="20.25" x14ac:dyDescent="0.3">
      <c r="A35" s="36"/>
      <c r="B35" s="37"/>
      <c r="C35" s="37"/>
      <c r="D35" s="96"/>
      <c r="E35" s="99"/>
      <c r="F35" s="72"/>
      <c r="G35" s="71"/>
      <c r="H35" s="73"/>
      <c r="I35" s="71"/>
      <c r="J35" s="73"/>
      <c r="K35" s="63"/>
      <c r="L35" s="71"/>
      <c r="M35" s="69"/>
      <c r="N35" s="74"/>
      <c r="O35" s="69"/>
      <c r="P35" s="75"/>
      <c r="Q35" s="76"/>
      <c r="R35" s="57"/>
      <c r="S35" s="94"/>
      <c r="T35" s="90"/>
      <c r="U35" s="57"/>
      <c r="V35" s="57"/>
      <c r="W35" s="69"/>
      <c r="X35" s="77"/>
      <c r="Y35" s="57"/>
      <c r="Z35" s="78"/>
      <c r="AA35" s="78"/>
      <c r="AB35" s="419"/>
      <c r="AC35" s="59">
        <v>20</v>
      </c>
      <c r="AD35" s="422"/>
      <c r="AE35" s="69"/>
      <c r="AF35" s="53"/>
      <c r="AG35" s="55"/>
      <c r="AH35" s="61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380"/>
      <c r="AT35" s="380"/>
      <c r="AU35" s="383"/>
      <c r="AV35" s="383"/>
      <c r="AW35" s="5"/>
      <c r="AX35" s="5"/>
      <c r="AY35" s="5"/>
      <c r="AZ35" s="1"/>
      <c r="BA35" s="1"/>
      <c r="BB35" s="26"/>
      <c r="BC35" s="26"/>
      <c r="BD35" s="26"/>
      <c r="BE35" s="26"/>
      <c r="BF35" s="26"/>
      <c r="BG35" s="27"/>
      <c r="BH35" s="27"/>
      <c r="BI35" s="27"/>
      <c r="BJ35" s="27"/>
      <c r="BK35" s="23"/>
      <c r="BL35" s="23"/>
      <c r="BM35" s="23"/>
      <c r="BN35" s="23"/>
      <c r="BO35" s="23"/>
      <c r="BP35" s="23"/>
      <c r="BQ35" s="23"/>
      <c r="BR35" s="1"/>
      <c r="BS35" s="1"/>
      <c r="BT35" s="1"/>
      <c r="BU35" s="1"/>
      <c r="BV35" s="1"/>
      <c r="BW35" s="1"/>
      <c r="BX35" s="1"/>
      <c r="BY35" s="1"/>
      <c r="BZ35" s="1"/>
    </row>
    <row r="36" spans="1:78" ht="24" thickBot="1" x14ac:dyDescent="0.4">
      <c r="A36" s="36"/>
      <c r="B36" s="34"/>
      <c r="C36" s="34"/>
      <c r="D36" s="96"/>
      <c r="E36" s="100"/>
      <c r="F36" s="79"/>
      <c r="G36" s="80"/>
      <c r="H36" s="80"/>
      <c r="I36" s="80"/>
      <c r="J36" s="80"/>
      <c r="K36" s="81"/>
      <c r="L36" s="79"/>
      <c r="M36" s="82"/>
      <c r="N36" s="82"/>
      <c r="O36" s="83"/>
      <c r="P36" s="82"/>
      <c r="Q36" s="82"/>
      <c r="R36" s="80"/>
      <c r="S36" s="95"/>
      <c r="T36" s="91"/>
      <c r="U36" s="84"/>
      <c r="V36" s="84"/>
      <c r="W36" s="84"/>
      <c r="X36" s="84"/>
      <c r="Y36" s="84"/>
      <c r="Z36" s="84"/>
      <c r="AA36" s="85"/>
      <c r="AB36" s="420"/>
      <c r="AC36" s="86">
        <v>24</v>
      </c>
      <c r="AD36" s="423"/>
      <c r="AE36" s="80"/>
      <c r="AF36" s="80"/>
      <c r="AG36" s="80"/>
      <c r="AH36" s="80"/>
      <c r="AI36" s="82"/>
      <c r="AJ36" s="80"/>
      <c r="AK36" s="80"/>
      <c r="AL36" s="80"/>
      <c r="AM36" s="80"/>
      <c r="AN36" s="81"/>
      <c r="AO36" s="80"/>
      <c r="AP36" s="80"/>
      <c r="AQ36" s="82"/>
      <c r="AR36" s="80"/>
      <c r="AS36" s="80"/>
      <c r="AT36" s="80"/>
      <c r="AU36" s="80"/>
      <c r="AV36" s="80"/>
      <c r="AW36" s="7"/>
      <c r="AX36" s="5"/>
      <c r="AY36" s="5"/>
      <c r="AZ36" s="1"/>
      <c r="BA36" s="1"/>
      <c r="BB36" s="26"/>
      <c r="BC36" s="28"/>
      <c r="BD36" s="26"/>
      <c r="BE36" s="26"/>
      <c r="BF36" s="26"/>
      <c r="BG36" s="27"/>
      <c r="BH36" s="27"/>
      <c r="BI36" s="27"/>
      <c r="BJ36" s="27"/>
      <c r="BK36" s="23"/>
      <c r="BL36" s="23"/>
      <c r="BM36" s="23"/>
      <c r="BN36" s="23"/>
      <c r="BO36" s="23"/>
      <c r="BP36" s="23"/>
      <c r="BQ36" s="23"/>
      <c r="BR36" s="1"/>
      <c r="BS36" s="1"/>
      <c r="BT36" s="1"/>
      <c r="BU36" s="1"/>
      <c r="BV36" s="1"/>
      <c r="BW36" s="1"/>
      <c r="BX36" s="1"/>
      <c r="BY36" s="1"/>
      <c r="BZ36" s="1"/>
    </row>
    <row r="37" spans="1:78" ht="23.25" x14ac:dyDescent="0.35">
      <c r="A37" s="33"/>
      <c r="B37" s="34"/>
      <c r="C37" s="35"/>
      <c r="D37" s="96"/>
      <c r="E37" s="97"/>
      <c r="F37" s="41"/>
      <c r="G37" s="42"/>
      <c r="H37" s="43"/>
      <c r="I37" s="44"/>
      <c r="J37" s="43"/>
      <c r="K37" s="44"/>
      <c r="L37" s="41"/>
      <c r="M37" s="45"/>
      <c r="N37" s="42"/>
      <c r="O37" s="46"/>
      <c r="P37" s="46"/>
      <c r="Q37" s="47"/>
      <c r="R37" s="48"/>
      <c r="S37" s="92"/>
      <c r="T37" s="87"/>
      <c r="U37" s="48"/>
      <c r="V37" s="48"/>
      <c r="W37" s="48"/>
      <c r="X37" s="48"/>
      <c r="Y37" s="48"/>
      <c r="Z37" s="48"/>
      <c r="AA37" s="48"/>
      <c r="AB37" s="418" t="s">
        <v>15</v>
      </c>
      <c r="AC37" s="49">
        <v>4</v>
      </c>
      <c r="AD37" s="421">
        <v>4</v>
      </c>
      <c r="AE37" s="42"/>
      <c r="AF37" s="42"/>
      <c r="AG37" s="50"/>
      <c r="AH37" s="50"/>
      <c r="AI37" s="42"/>
      <c r="AJ37" s="42"/>
      <c r="AK37" s="42"/>
      <c r="AL37" s="42"/>
      <c r="AM37" s="44"/>
      <c r="AN37" s="42"/>
      <c r="AO37" s="42"/>
      <c r="AP37" s="42"/>
      <c r="AQ37" s="42"/>
      <c r="AR37" s="384"/>
      <c r="AS37" s="384"/>
      <c r="AT37" s="385"/>
      <c r="AU37" s="384"/>
      <c r="AV37" s="384"/>
      <c r="AW37" s="6"/>
      <c r="AX37" s="5"/>
      <c r="AY37" s="5"/>
      <c r="AZ37" s="1"/>
      <c r="BA37" s="1"/>
      <c r="BB37" s="24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1"/>
      <c r="BS37" s="1"/>
      <c r="BT37" s="1"/>
      <c r="BU37" s="1"/>
      <c r="BV37" s="1"/>
      <c r="BW37" s="1"/>
      <c r="BX37" s="1"/>
      <c r="BY37" s="1"/>
      <c r="BZ37" s="1"/>
    </row>
    <row r="38" spans="1:78" ht="23.25" x14ac:dyDescent="0.35">
      <c r="A38" s="36"/>
      <c r="B38" s="34"/>
      <c r="C38" s="34"/>
      <c r="D38" s="96"/>
      <c r="E38" s="98"/>
      <c r="F38" s="51"/>
      <c r="G38" s="52"/>
      <c r="H38" s="53"/>
      <c r="I38" s="53"/>
      <c r="J38" s="53"/>
      <c r="K38" s="53"/>
      <c r="L38" s="54"/>
      <c r="M38" s="51"/>
      <c r="N38" s="55"/>
      <c r="O38" s="56"/>
      <c r="P38" s="57"/>
      <c r="Q38" s="58"/>
      <c r="R38" s="58"/>
      <c r="S38" s="93"/>
      <c r="T38" s="88"/>
      <c r="U38" s="58"/>
      <c r="V38" s="58"/>
      <c r="W38" s="58"/>
      <c r="X38" s="58"/>
      <c r="Y38" s="58"/>
      <c r="Z38" s="58"/>
      <c r="AA38" s="58"/>
      <c r="AB38" s="419"/>
      <c r="AC38" s="59">
        <v>8</v>
      </c>
      <c r="AD38" s="422"/>
      <c r="AE38" s="60"/>
      <c r="AF38" s="55"/>
      <c r="AG38" s="60"/>
      <c r="AH38" s="55"/>
      <c r="AI38" s="61"/>
      <c r="AJ38" s="55"/>
      <c r="AK38" s="55"/>
      <c r="AL38" s="55"/>
      <c r="AM38" s="55"/>
      <c r="AN38" s="55"/>
      <c r="AO38" s="55"/>
      <c r="AP38" s="55"/>
      <c r="AQ38" s="55"/>
      <c r="AR38" s="55"/>
      <c r="AS38" s="380"/>
      <c r="AT38" s="380"/>
      <c r="AU38" s="382"/>
      <c r="AV38" s="380"/>
      <c r="AW38" s="6"/>
      <c r="AX38" s="5"/>
      <c r="AY38" s="5"/>
      <c r="AZ38" s="1"/>
      <c r="BA38" s="1"/>
      <c r="BB38" s="25"/>
      <c r="BC38" s="26"/>
      <c r="BD38" s="26"/>
      <c r="BE38" s="26"/>
      <c r="BF38" s="26"/>
      <c r="BG38" s="26"/>
      <c r="BH38" s="26"/>
      <c r="BI38" s="26"/>
      <c r="BJ38" s="26"/>
      <c r="BK38" s="23"/>
      <c r="BL38" s="23"/>
      <c r="BM38" s="23"/>
      <c r="BN38" s="23"/>
      <c r="BO38" s="23"/>
      <c r="BP38" s="23"/>
      <c r="BQ38" s="23"/>
      <c r="BR38" s="1"/>
      <c r="BS38" s="1"/>
      <c r="BT38" s="1"/>
      <c r="BU38" s="1"/>
      <c r="BV38" s="1"/>
      <c r="BW38" s="1"/>
      <c r="BX38" s="1"/>
      <c r="BY38" s="1"/>
      <c r="BZ38" s="1"/>
    </row>
    <row r="39" spans="1:78" ht="23.25" x14ac:dyDescent="0.35">
      <c r="A39" s="33"/>
      <c r="B39" s="34"/>
      <c r="C39" s="34"/>
      <c r="D39" s="101"/>
      <c r="E39" s="99"/>
      <c r="F39" s="62"/>
      <c r="G39" s="63"/>
      <c r="H39" s="64"/>
      <c r="I39" s="63"/>
      <c r="J39" s="64"/>
      <c r="K39" s="64"/>
      <c r="L39" s="63"/>
      <c r="M39" s="63"/>
      <c r="N39" s="64"/>
      <c r="O39" s="65"/>
      <c r="P39" s="66"/>
      <c r="Q39" s="58"/>
      <c r="R39" s="67"/>
      <c r="S39" s="93"/>
      <c r="T39" s="89"/>
      <c r="U39" s="58"/>
      <c r="V39" s="58"/>
      <c r="W39" s="58"/>
      <c r="X39" s="58"/>
      <c r="Y39" s="58"/>
      <c r="Z39" s="58"/>
      <c r="AA39" s="68"/>
      <c r="AB39" s="419"/>
      <c r="AC39" s="59">
        <v>12</v>
      </c>
      <c r="AD39" s="422"/>
      <c r="AE39" s="55"/>
      <c r="AF39" s="55"/>
      <c r="AG39" s="55"/>
      <c r="AH39" s="55"/>
      <c r="AI39" s="69"/>
      <c r="AJ39" s="69"/>
      <c r="AK39" s="55"/>
      <c r="AL39" s="55"/>
      <c r="AM39" s="55"/>
      <c r="AN39" s="55"/>
      <c r="AO39" s="55"/>
      <c r="AP39" s="69"/>
      <c r="AQ39" s="55"/>
      <c r="AR39" s="55"/>
      <c r="AS39" s="380"/>
      <c r="AT39" s="381"/>
      <c r="AU39" s="380"/>
      <c r="AV39" s="380"/>
      <c r="AW39" s="6"/>
      <c r="AX39" s="5"/>
      <c r="AY39" s="5"/>
      <c r="AZ39" s="1"/>
      <c r="BA39" s="1"/>
      <c r="BB39" s="26"/>
      <c r="BC39" s="26"/>
      <c r="BD39" s="26"/>
      <c r="BE39" s="26"/>
      <c r="BF39" s="26"/>
      <c r="BG39" s="26"/>
      <c r="BH39" s="26"/>
      <c r="BI39" s="26"/>
      <c r="BJ39" s="26"/>
      <c r="BK39" s="23"/>
      <c r="BL39" s="23"/>
      <c r="BM39" s="23"/>
      <c r="BN39" s="23"/>
      <c r="BO39" s="23"/>
      <c r="BP39" s="23"/>
      <c r="BQ39" s="23"/>
      <c r="BR39" s="1"/>
      <c r="BS39" s="1"/>
      <c r="BT39" s="1"/>
      <c r="BU39" s="1"/>
      <c r="BV39" s="1"/>
      <c r="BW39" s="1"/>
      <c r="BX39" s="1"/>
      <c r="BY39" s="1"/>
      <c r="BZ39" s="1"/>
    </row>
    <row r="40" spans="1:78" ht="23.25" x14ac:dyDescent="0.35">
      <c r="A40" s="36"/>
      <c r="B40" s="34"/>
      <c r="C40" s="37"/>
      <c r="D40" s="96"/>
      <c r="E40" s="98"/>
      <c r="F40" s="51"/>
      <c r="G40" s="53"/>
      <c r="H40" s="53"/>
      <c r="I40" s="53"/>
      <c r="J40" s="53"/>
      <c r="K40" s="70"/>
      <c r="L40" s="54"/>
      <c r="M40" s="51"/>
      <c r="N40" s="55"/>
      <c r="O40" s="56"/>
      <c r="P40" s="57"/>
      <c r="Q40" s="58"/>
      <c r="R40" s="58"/>
      <c r="S40" s="93"/>
      <c r="T40" s="89"/>
      <c r="U40" s="58"/>
      <c r="V40" s="58"/>
      <c r="W40" s="58"/>
      <c r="X40" s="63"/>
      <c r="Y40" s="58"/>
      <c r="Z40" s="58"/>
      <c r="AA40" s="58"/>
      <c r="AB40" s="419"/>
      <c r="AC40" s="59">
        <v>16</v>
      </c>
      <c r="AD40" s="422"/>
      <c r="AE40" s="69"/>
      <c r="AF40" s="55"/>
      <c r="AG40" s="71"/>
      <c r="AH40" s="55"/>
      <c r="AI40" s="69"/>
      <c r="AJ40" s="55"/>
      <c r="AK40" s="55"/>
      <c r="AL40" s="55"/>
      <c r="AM40" s="55"/>
      <c r="AN40" s="55"/>
      <c r="AO40" s="55"/>
      <c r="AP40" s="55"/>
      <c r="AQ40" s="55"/>
      <c r="AR40" s="55"/>
      <c r="AS40" s="380"/>
      <c r="AT40" s="381"/>
      <c r="AU40" s="382"/>
      <c r="AV40" s="380"/>
      <c r="AW40" s="5"/>
      <c r="AX40" s="5"/>
      <c r="AY40" s="5"/>
      <c r="AZ40" s="1"/>
      <c r="BA40" s="1"/>
      <c r="BB40" s="25"/>
      <c r="BC40" s="26" t="s">
        <v>20</v>
      </c>
      <c r="BD40" s="26"/>
      <c r="BE40" s="26"/>
      <c r="BF40" s="26"/>
      <c r="BG40" s="27"/>
      <c r="BH40" s="27"/>
      <c r="BI40" s="27"/>
      <c r="BJ40" s="27"/>
      <c r="BK40" s="23"/>
      <c r="BL40" s="23"/>
      <c r="BM40" s="23"/>
      <c r="BN40" s="23"/>
      <c r="BO40" s="23"/>
      <c r="BP40" s="23"/>
      <c r="BQ40" s="23"/>
      <c r="BR40" s="1"/>
      <c r="BS40" s="1"/>
      <c r="BT40" s="1"/>
      <c r="BU40" s="1"/>
      <c r="BV40" s="1"/>
      <c r="BW40" s="1"/>
      <c r="BX40" s="1"/>
      <c r="BY40" s="1"/>
      <c r="BZ40" s="1"/>
    </row>
    <row r="41" spans="1:78" ht="20.25" x14ac:dyDescent="0.3">
      <c r="A41" s="36"/>
      <c r="B41" s="37"/>
      <c r="C41" s="37"/>
      <c r="D41" s="96"/>
      <c r="E41" s="99"/>
      <c r="F41" s="72"/>
      <c r="G41" s="71"/>
      <c r="H41" s="73"/>
      <c r="I41" s="71"/>
      <c r="J41" s="73"/>
      <c r="K41" s="63"/>
      <c r="L41" s="71"/>
      <c r="M41" s="69"/>
      <c r="N41" s="74"/>
      <c r="O41" s="69"/>
      <c r="P41" s="75"/>
      <c r="Q41" s="76"/>
      <c r="R41" s="57"/>
      <c r="S41" s="94"/>
      <c r="T41" s="90"/>
      <c r="U41" s="57"/>
      <c r="V41" s="57"/>
      <c r="W41" s="69"/>
      <c r="X41" s="77"/>
      <c r="Y41" s="57"/>
      <c r="Z41" s="78"/>
      <c r="AA41" s="78"/>
      <c r="AB41" s="419"/>
      <c r="AC41" s="59">
        <v>20</v>
      </c>
      <c r="AD41" s="422"/>
      <c r="AE41" s="69"/>
      <c r="AF41" s="53"/>
      <c r="AG41" s="55"/>
      <c r="AH41" s="61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380"/>
      <c r="AT41" s="380"/>
      <c r="AU41" s="383"/>
      <c r="AV41" s="383"/>
      <c r="AW41" s="5"/>
      <c r="AX41" s="5"/>
      <c r="AY41" s="5"/>
      <c r="AZ41" s="1"/>
      <c r="BA41" s="1"/>
      <c r="BB41" s="26"/>
      <c r="BC41" s="26"/>
      <c r="BD41" s="26"/>
      <c r="BE41" s="26"/>
      <c r="BF41" s="26"/>
      <c r="BG41" s="27"/>
      <c r="BH41" s="27"/>
      <c r="BI41" s="27"/>
      <c r="BJ41" s="27"/>
      <c r="BK41" s="23"/>
      <c r="BL41" s="23"/>
      <c r="BM41" s="23"/>
      <c r="BN41" s="23"/>
      <c r="BO41" s="23"/>
      <c r="BP41" s="23"/>
      <c r="BQ41" s="23"/>
      <c r="BR41" s="1"/>
      <c r="BS41" s="1"/>
      <c r="BT41" s="1"/>
      <c r="BU41" s="1"/>
      <c r="BV41" s="1"/>
      <c r="BW41" s="1"/>
      <c r="BX41" s="1"/>
      <c r="BY41" s="1"/>
      <c r="BZ41" s="1"/>
    </row>
    <row r="42" spans="1:78" ht="24" thickBot="1" x14ac:dyDescent="0.4">
      <c r="A42" s="36"/>
      <c r="B42" s="34"/>
      <c r="C42" s="34"/>
      <c r="D42" s="96"/>
      <c r="E42" s="100"/>
      <c r="F42" s="79"/>
      <c r="G42" s="80"/>
      <c r="H42" s="80"/>
      <c r="I42" s="80"/>
      <c r="J42" s="80"/>
      <c r="K42" s="81"/>
      <c r="L42" s="79"/>
      <c r="M42" s="82"/>
      <c r="N42" s="82"/>
      <c r="O42" s="83"/>
      <c r="P42" s="82"/>
      <c r="Q42" s="82"/>
      <c r="R42" s="80"/>
      <c r="S42" s="95"/>
      <c r="T42" s="91"/>
      <c r="U42" s="84"/>
      <c r="V42" s="84"/>
      <c r="W42" s="84"/>
      <c r="X42" s="84"/>
      <c r="Y42" s="84"/>
      <c r="Z42" s="84"/>
      <c r="AA42" s="85"/>
      <c r="AB42" s="420"/>
      <c r="AC42" s="86">
        <v>24</v>
      </c>
      <c r="AD42" s="423"/>
      <c r="AE42" s="80"/>
      <c r="AF42" s="80"/>
      <c r="AG42" s="80"/>
      <c r="AH42" s="80"/>
      <c r="AI42" s="82"/>
      <c r="AJ42" s="80"/>
      <c r="AK42" s="80"/>
      <c r="AL42" s="80"/>
      <c r="AM42" s="80"/>
      <c r="AN42" s="81"/>
      <c r="AO42" s="80"/>
      <c r="AP42" s="80"/>
      <c r="AQ42" s="82"/>
      <c r="AR42" s="80"/>
      <c r="AS42" s="80"/>
      <c r="AT42" s="80"/>
      <c r="AU42" s="80"/>
      <c r="AV42" s="80"/>
      <c r="AW42" s="7"/>
      <c r="AX42" s="5"/>
      <c r="AY42" s="5"/>
      <c r="AZ42" s="1"/>
      <c r="BA42" s="1"/>
      <c r="BB42" s="26"/>
      <c r="BC42" s="28"/>
      <c r="BD42" s="26"/>
      <c r="BE42" s="26"/>
      <c r="BF42" s="26"/>
      <c r="BG42" s="27"/>
      <c r="BH42" s="27"/>
      <c r="BI42" s="27"/>
      <c r="BJ42" s="27"/>
      <c r="BK42" s="23"/>
      <c r="BL42" s="23"/>
      <c r="BM42" s="23"/>
      <c r="BN42" s="23"/>
      <c r="BO42" s="23"/>
      <c r="BP42" s="23"/>
      <c r="BQ42" s="23"/>
      <c r="BR42" s="1"/>
      <c r="BS42" s="1"/>
      <c r="BT42" s="1"/>
      <c r="BU42" s="1"/>
      <c r="BV42" s="1"/>
      <c r="BW42" s="1"/>
      <c r="BX42" s="1"/>
      <c r="BY42" s="1"/>
      <c r="BZ42" s="1"/>
    </row>
    <row r="43" spans="1:78" ht="23.25" x14ac:dyDescent="0.35">
      <c r="A43" s="33"/>
      <c r="B43" s="34"/>
      <c r="C43" s="35"/>
      <c r="D43" s="96"/>
      <c r="E43" s="97"/>
      <c r="F43" s="41"/>
      <c r="G43" s="42"/>
      <c r="H43" s="43"/>
      <c r="I43" s="44"/>
      <c r="J43" s="43"/>
      <c r="K43" s="44"/>
      <c r="L43" s="41"/>
      <c r="M43" s="45"/>
      <c r="N43" s="42"/>
      <c r="O43" s="46"/>
      <c r="P43" s="46"/>
      <c r="Q43" s="47"/>
      <c r="R43" s="48"/>
      <c r="S43" s="92"/>
      <c r="T43" s="87"/>
      <c r="U43" s="48"/>
      <c r="V43" s="48"/>
      <c r="W43" s="48"/>
      <c r="X43" s="48"/>
      <c r="Y43" s="48"/>
      <c r="Z43" s="48"/>
      <c r="AA43" s="48"/>
      <c r="AB43" s="418" t="s">
        <v>16</v>
      </c>
      <c r="AC43" s="49">
        <v>4</v>
      </c>
      <c r="AD43" s="421">
        <v>5</v>
      </c>
      <c r="AE43" s="42"/>
      <c r="AF43" s="42"/>
      <c r="AG43" s="50"/>
      <c r="AH43" s="50"/>
      <c r="AI43" s="42"/>
      <c r="AJ43" s="42"/>
      <c r="AK43" s="42"/>
      <c r="AL43" s="42"/>
      <c r="AM43" s="44"/>
      <c r="AN43" s="42"/>
      <c r="AO43" s="42"/>
      <c r="AP43" s="42"/>
      <c r="AQ43" s="42"/>
      <c r="AR43" s="384"/>
      <c r="AS43" s="384"/>
      <c r="AT43" s="385"/>
      <c r="AU43" s="384"/>
      <c r="AV43" s="384"/>
      <c r="AW43" s="6"/>
      <c r="AX43" s="5"/>
      <c r="AY43" s="5"/>
      <c r="AZ43" s="1"/>
      <c r="BA43" s="1"/>
      <c r="BB43" s="24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1"/>
      <c r="BS43" s="1"/>
      <c r="BT43" s="1"/>
      <c r="BU43" s="1"/>
      <c r="BV43" s="1"/>
      <c r="BW43" s="1"/>
      <c r="BX43" s="1"/>
      <c r="BY43" s="1"/>
      <c r="BZ43" s="1"/>
    </row>
    <row r="44" spans="1:78" ht="23.25" x14ac:dyDescent="0.35">
      <c r="A44" s="36"/>
      <c r="B44" s="34"/>
      <c r="C44" s="34"/>
      <c r="D44" s="96"/>
      <c r="E44" s="98"/>
      <c r="F44" s="51"/>
      <c r="G44" s="52"/>
      <c r="H44" s="53"/>
      <c r="I44" s="53"/>
      <c r="J44" s="53"/>
      <c r="K44" s="53"/>
      <c r="L44" s="54"/>
      <c r="M44" s="51"/>
      <c r="N44" s="55"/>
      <c r="O44" s="56"/>
      <c r="P44" s="57"/>
      <c r="Q44" s="58"/>
      <c r="R44" s="58"/>
      <c r="S44" s="93"/>
      <c r="T44" s="88"/>
      <c r="U44" s="58"/>
      <c r="V44" s="58"/>
      <c r="W44" s="58"/>
      <c r="X44" s="58"/>
      <c r="Y44" s="58"/>
      <c r="Z44" s="58"/>
      <c r="AA44" s="58"/>
      <c r="AB44" s="419"/>
      <c r="AC44" s="59">
        <v>8</v>
      </c>
      <c r="AD44" s="422"/>
      <c r="AE44" s="60"/>
      <c r="AF44" s="55"/>
      <c r="AG44" s="60"/>
      <c r="AH44" s="55"/>
      <c r="AI44" s="61"/>
      <c r="AJ44" s="55"/>
      <c r="AK44" s="55"/>
      <c r="AL44" s="55"/>
      <c r="AM44" s="55"/>
      <c r="AN44" s="55"/>
      <c r="AO44" s="55"/>
      <c r="AP44" s="55"/>
      <c r="AQ44" s="55"/>
      <c r="AR44" s="55"/>
      <c r="AS44" s="380"/>
      <c r="AT44" s="380"/>
      <c r="AU44" s="382"/>
      <c r="AV44" s="380"/>
      <c r="AW44" s="6"/>
      <c r="AX44" s="5"/>
      <c r="AY44" s="5"/>
      <c r="AZ44" s="1"/>
      <c r="BA44" s="1"/>
      <c r="BB44" s="25"/>
      <c r="BC44" s="26"/>
      <c r="BD44" s="26"/>
      <c r="BE44" s="26"/>
      <c r="BF44" s="26"/>
      <c r="BG44" s="26"/>
      <c r="BH44" s="26"/>
      <c r="BI44" s="26"/>
      <c r="BJ44" s="26"/>
      <c r="BK44" s="23"/>
      <c r="BL44" s="23"/>
      <c r="BM44" s="23"/>
      <c r="BN44" s="23"/>
      <c r="BO44" s="23"/>
      <c r="BP44" s="23"/>
      <c r="BQ44" s="23"/>
      <c r="BR44" s="1"/>
      <c r="BS44" s="1"/>
      <c r="BT44" s="1"/>
      <c r="BU44" s="1"/>
      <c r="BV44" s="1"/>
      <c r="BW44" s="1"/>
      <c r="BX44" s="1"/>
      <c r="BY44" s="1"/>
      <c r="BZ44" s="1"/>
    </row>
    <row r="45" spans="1:78" ht="23.25" x14ac:dyDescent="0.35">
      <c r="A45" s="33"/>
      <c r="B45" s="34"/>
      <c r="C45" s="34"/>
      <c r="D45" s="101"/>
      <c r="E45" s="99"/>
      <c r="F45" s="62"/>
      <c r="G45" s="63"/>
      <c r="H45" s="64"/>
      <c r="I45" s="63"/>
      <c r="J45" s="64"/>
      <c r="K45" s="64"/>
      <c r="L45" s="63"/>
      <c r="M45" s="63"/>
      <c r="N45" s="64"/>
      <c r="O45" s="65"/>
      <c r="P45" s="66"/>
      <c r="Q45" s="58"/>
      <c r="R45" s="67"/>
      <c r="S45" s="93"/>
      <c r="T45" s="89"/>
      <c r="U45" s="58"/>
      <c r="V45" s="58"/>
      <c r="W45" s="58"/>
      <c r="X45" s="58"/>
      <c r="Y45" s="58"/>
      <c r="Z45" s="58"/>
      <c r="AA45" s="68"/>
      <c r="AB45" s="419"/>
      <c r="AC45" s="59">
        <v>12</v>
      </c>
      <c r="AD45" s="422"/>
      <c r="AE45" s="55"/>
      <c r="AF45" s="55"/>
      <c r="AG45" s="55"/>
      <c r="AH45" s="55"/>
      <c r="AI45" s="69"/>
      <c r="AJ45" s="69"/>
      <c r="AK45" s="55"/>
      <c r="AL45" s="55"/>
      <c r="AM45" s="55"/>
      <c r="AN45" s="55"/>
      <c r="AO45" s="55"/>
      <c r="AP45" s="69"/>
      <c r="AQ45" s="55"/>
      <c r="AR45" s="55"/>
      <c r="AS45" s="380"/>
      <c r="AT45" s="381"/>
      <c r="AU45" s="380"/>
      <c r="AV45" s="380"/>
      <c r="AW45" s="6"/>
      <c r="AX45" s="5"/>
      <c r="AY45" s="5"/>
      <c r="AZ45" s="1"/>
      <c r="BA45" s="1"/>
      <c r="BB45" s="26"/>
      <c r="BC45" s="26"/>
      <c r="BD45" s="26"/>
      <c r="BE45" s="26"/>
      <c r="BF45" s="26"/>
      <c r="BG45" s="26"/>
      <c r="BH45" s="26"/>
      <c r="BI45" s="26"/>
      <c r="BJ45" s="26"/>
      <c r="BK45" s="23"/>
      <c r="BL45" s="23"/>
      <c r="BM45" s="23"/>
      <c r="BN45" s="23"/>
      <c r="BO45" s="23"/>
      <c r="BP45" s="23"/>
      <c r="BQ45" s="23"/>
      <c r="BR45" s="1"/>
      <c r="BS45" s="1"/>
      <c r="BT45" s="1"/>
      <c r="BU45" s="1"/>
      <c r="BV45" s="1"/>
      <c r="BW45" s="1"/>
      <c r="BX45" s="1"/>
      <c r="BY45" s="1"/>
      <c r="BZ45" s="1"/>
    </row>
    <row r="46" spans="1:78" ht="23.25" x14ac:dyDescent="0.35">
      <c r="A46" s="36"/>
      <c r="B46" s="34"/>
      <c r="C46" s="37"/>
      <c r="D46" s="96"/>
      <c r="E46" s="98"/>
      <c r="F46" s="51"/>
      <c r="G46" s="53"/>
      <c r="H46" s="53"/>
      <c r="I46" s="53"/>
      <c r="J46" s="53"/>
      <c r="K46" s="70"/>
      <c r="L46" s="54"/>
      <c r="M46" s="51"/>
      <c r="N46" s="55"/>
      <c r="O46" s="56"/>
      <c r="P46" s="57"/>
      <c r="Q46" s="58"/>
      <c r="R46" s="58"/>
      <c r="S46" s="93"/>
      <c r="T46" s="89"/>
      <c r="U46" s="58"/>
      <c r="V46" s="58"/>
      <c r="W46" s="58"/>
      <c r="X46" s="63"/>
      <c r="Y46" s="58"/>
      <c r="Z46" s="58"/>
      <c r="AA46" s="58"/>
      <c r="AB46" s="419"/>
      <c r="AC46" s="59">
        <v>16</v>
      </c>
      <c r="AD46" s="422"/>
      <c r="AE46" s="69"/>
      <c r="AF46" s="55"/>
      <c r="AG46" s="71"/>
      <c r="AH46" s="55"/>
      <c r="AI46" s="69"/>
      <c r="AJ46" s="55"/>
      <c r="AK46" s="55"/>
      <c r="AL46" s="55"/>
      <c r="AM46" s="55"/>
      <c r="AN46" s="55"/>
      <c r="AO46" s="55"/>
      <c r="AP46" s="55"/>
      <c r="AQ46" s="55"/>
      <c r="AR46" s="55"/>
      <c r="AS46" s="380"/>
      <c r="AT46" s="381"/>
      <c r="AU46" s="382"/>
      <c r="AV46" s="380"/>
      <c r="AW46" s="5"/>
      <c r="AX46" s="5"/>
      <c r="AY46" s="5"/>
      <c r="AZ46" s="1"/>
      <c r="BA46" s="1"/>
      <c r="BB46" s="25"/>
      <c r="BC46" s="26" t="s">
        <v>20</v>
      </c>
      <c r="BD46" s="26"/>
      <c r="BE46" s="26"/>
      <c r="BF46" s="26"/>
      <c r="BG46" s="27"/>
      <c r="BH46" s="27"/>
      <c r="BI46" s="27"/>
      <c r="BJ46" s="27"/>
      <c r="BK46" s="23"/>
      <c r="BL46" s="23"/>
      <c r="BM46" s="23"/>
      <c r="BN46" s="23"/>
      <c r="BO46" s="23"/>
      <c r="BP46" s="23"/>
      <c r="BQ46" s="23"/>
      <c r="BR46" s="1"/>
      <c r="BS46" s="1"/>
      <c r="BT46" s="1"/>
      <c r="BU46" s="1"/>
      <c r="BV46" s="1"/>
      <c r="BW46" s="1"/>
      <c r="BX46" s="1"/>
      <c r="BY46" s="1"/>
      <c r="BZ46" s="1"/>
    </row>
    <row r="47" spans="1:78" ht="20.25" x14ac:dyDescent="0.3">
      <c r="A47" s="36"/>
      <c r="B47" s="37"/>
      <c r="C47" s="37"/>
      <c r="D47" s="96"/>
      <c r="E47" s="99"/>
      <c r="F47" s="72"/>
      <c r="G47" s="71"/>
      <c r="H47" s="73"/>
      <c r="I47" s="71"/>
      <c r="J47" s="73"/>
      <c r="K47" s="63"/>
      <c r="L47" s="71"/>
      <c r="M47" s="69"/>
      <c r="N47" s="74"/>
      <c r="O47" s="69"/>
      <c r="P47" s="75"/>
      <c r="Q47" s="76"/>
      <c r="R47" s="57"/>
      <c r="S47" s="94"/>
      <c r="T47" s="90"/>
      <c r="U47" s="57"/>
      <c r="V47" s="57"/>
      <c r="W47" s="69"/>
      <c r="X47" s="77"/>
      <c r="Y47" s="57"/>
      <c r="Z47" s="78"/>
      <c r="AA47" s="78"/>
      <c r="AB47" s="419"/>
      <c r="AC47" s="59">
        <v>20</v>
      </c>
      <c r="AD47" s="422"/>
      <c r="AE47" s="69"/>
      <c r="AF47" s="53"/>
      <c r="AG47" s="55"/>
      <c r="AH47" s="61"/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380"/>
      <c r="AT47" s="380"/>
      <c r="AU47" s="383"/>
      <c r="AV47" s="383"/>
      <c r="AW47" s="5"/>
      <c r="AX47" s="5"/>
      <c r="AY47" s="5"/>
      <c r="AZ47" s="1"/>
      <c r="BA47" s="1"/>
      <c r="BB47" s="26"/>
      <c r="BC47" s="26"/>
      <c r="BD47" s="26"/>
      <c r="BE47" s="26"/>
      <c r="BF47" s="26"/>
      <c r="BG47" s="27"/>
      <c r="BH47" s="27"/>
      <c r="BI47" s="27"/>
      <c r="BJ47" s="27"/>
      <c r="BK47" s="23"/>
      <c r="BL47" s="23"/>
      <c r="BM47" s="23"/>
      <c r="BN47" s="23"/>
      <c r="BO47" s="23"/>
      <c r="BP47" s="23"/>
      <c r="BQ47" s="23"/>
      <c r="BR47" s="1"/>
      <c r="BS47" s="1"/>
      <c r="BT47" s="1"/>
      <c r="BU47" s="1"/>
      <c r="BV47" s="1"/>
      <c r="BW47" s="1"/>
      <c r="BX47" s="1"/>
      <c r="BY47" s="1"/>
      <c r="BZ47" s="1"/>
    </row>
    <row r="48" spans="1:78" ht="24" thickBot="1" x14ac:dyDescent="0.4">
      <c r="A48" s="36"/>
      <c r="B48" s="34"/>
      <c r="C48" s="34"/>
      <c r="D48" s="96"/>
      <c r="E48" s="100"/>
      <c r="F48" s="79"/>
      <c r="G48" s="80"/>
      <c r="H48" s="80"/>
      <c r="I48" s="80"/>
      <c r="J48" s="80"/>
      <c r="K48" s="81"/>
      <c r="L48" s="79"/>
      <c r="M48" s="82"/>
      <c r="N48" s="82"/>
      <c r="O48" s="83"/>
      <c r="P48" s="82"/>
      <c r="Q48" s="82"/>
      <c r="R48" s="80"/>
      <c r="S48" s="95"/>
      <c r="T48" s="91"/>
      <c r="U48" s="84"/>
      <c r="V48" s="84"/>
      <c r="W48" s="84"/>
      <c r="X48" s="84"/>
      <c r="Y48" s="84"/>
      <c r="Z48" s="84"/>
      <c r="AA48" s="85"/>
      <c r="AB48" s="420"/>
      <c r="AC48" s="86">
        <v>24</v>
      </c>
      <c r="AD48" s="423"/>
      <c r="AE48" s="80"/>
      <c r="AF48" s="80"/>
      <c r="AG48" s="80"/>
      <c r="AH48" s="80"/>
      <c r="AI48" s="82"/>
      <c r="AJ48" s="80"/>
      <c r="AK48" s="80"/>
      <c r="AL48" s="80"/>
      <c r="AM48" s="80"/>
      <c r="AN48" s="81"/>
      <c r="AO48" s="80"/>
      <c r="AP48" s="80"/>
      <c r="AQ48" s="82"/>
      <c r="AR48" s="80"/>
      <c r="AS48" s="80"/>
      <c r="AT48" s="80"/>
      <c r="AU48" s="80"/>
      <c r="AV48" s="80"/>
      <c r="AW48" s="7"/>
      <c r="AX48" s="5"/>
      <c r="AY48" s="5"/>
      <c r="AZ48" s="1"/>
      <c r="BA48" s="1"/>
      <c r="BB48" s="26"/>
      <c r="BC48" s="28"/>
      <c r="BD48" s="26"/>
      <c r="BE48" s="26"/>
      <c r="BF48" s="26"/>
      <c r="BG48" s="27"/>
      <c r="BH48" s="27"/>
      <c r="BI48" s="27"/>
      <c r="BJ48" s="27"/>
      <c r="BK48" s="23"/>
      <c r="BL48" s="23"/>
      <c r="BM48" s="23"/>
      <c r="BN48" s="23"/>
      <c r="BO48" s="23"/>
      <c r="BP48" s="23"/>
      <c r="BQ48" s="23"/>
      <c r="BR48" s="1"/>
      <c r="BS48" s="1"/>
      <c r="BT48" s="1"/>
      <c r="BU48" s="1"/>
      <c r="BV48" s="1"/>
      <c r="BW48" s="1"/>
      <c r="BX48" s="1"/>
      <c r="BY48" s="1"/>
      <c r="BZ48" s="1"/>
    </row>
    <row r="49" spans="27:29" x14ac:dyDescent="0.2">
      <c r="AA49"/>
      <c r="AB49"/>
      <c r="AC49"/>
    </row>
    <row r="50" spans="27:29" x14ac:dyDescent="0.2">
      <c r="AA50"/>
      <c r="AB50"/>
      <c r="AC50"/>
    </row>
    <row r="51" spans="27:29" x14ac:dyDescent="0.2">
      <c r="AA51"/>
      <c r="AB51"/>
      <c r="AC51"/>
    </row>
    <row r="52" spans="27:29" x14ac:dyDescent="0.2">
      <c r="AA52"/>
      <c r="AB52"/>
      <c r="AC52"/>
    </row>
    <row r="53" spans="27:29" x14ac:dyDescent="0.2">
      <c r="AA53"/>
      <c r="AB53"/>
      <c r="AC53"/>
    </row>
    <row r="54" spans="27:29" x14ac:dyDescent="0.2">
      <c r="AA54"/>
      <c r="AB54"/>
      <c r="AC54"/>
    </row>
    <row r="55" spans="27:29" x14ac:dyDescent="0.2">
      <c r="AA55"/>
      <c r="AB55"/>
      <c r="AC55"/>
    </row>
    <row r="56" spans="27:29" x14ac:dyDescent="0.2">
      <c r="AA56"/>
      <c r="AB56"/>
      <c r="AC56"/>
    </row>
    <row r="57" spans="27:29" x14ac:dyDescent="0.2">
      <c r="AA57"/>
      <c r="AB57"/>
      <c r="AC57"/>
    </row>
    <row r="58" spans="27:29" x14ac:dyDescent="0.2">
      <c r="AA58"/>
      <c r="AB58"/>
      <c r="AC58"/>
    </row>
    <row r="59" spans="27:29" x14ac:dyDescent="0.2">
      <c r="AA59"/>
      <c r="AB59"/>
      <c r="AC59"/>
    </row>
    <row r="60" spans="27:29" x14ac:dyDescent="0.2">
      <c r="AA60"/>
      <c r="AB60"/>
      <c r="AC60"/>
    </row>
    <row r="61" spans="27:29" x14ac:dyDescent="0.2">
      <c r="AA61"/>
      <c r="AB61"/>
      <c r="AC61"/>
    </row>
    <row r="62" spans="27:29" x14ac:dyDescent="0.2">
      <c r="AA62"/>
      <c r="AB62"/>
      <c r="AC62"/>
    </row>
    <row r="63" spans="27:29" x14ac:dyDescent="0.2">
      <c r="AA63"/>
      <c r="AB63"/>
      <c r="AC63"/>
    </row>
    <row r="64" spans="27:29" x14ac:dyDescent="0.2">
      <c r="AA64"/>
      <c r="AB64"/>
      <c r="AC64"/>
    </row>
    <row r="65" spans="27:29" x14ac:dyDescent="0.2">
      <c r="AA65"/>
      <c r="AB65"/>
      <c r="AC65"/>
    </row>
    <row r="66" spans="27:29" x14ac:dyDescent="0.2">
      <c r="AA66"/>
      <c r="AB66"/>
      <c r="AC66"/>
    </row>
    <row r="67" spans="27:29" x14ac:dyDescent="0.2">
      <c r="AA67"/>
      <c r="AB67"/>
      <c r="AC67"/>
    </row>
    <row r="68" spans="27:29" x14ac:dyDescent="0.2">
      <c r="AA68"/>
      <c r="AB68"/>
      <c r="AC68"/>
    </row>
    <row r="69" spans="27:29" x14ac:dyDescent="0.2">
      <c r="AA69"/>
      <c r="AB69"/>
      <c r="AC69"/>
    </row>
    <row r="70" spans="27:29" x14ac:dyDescent="0.2">
      <c r="AA70"/>
      <c r="AB70"/>
      <c r="AC70"/>
    </row>
    <row r="71" spans="27:29" x14ac:dyDescent="0.2">
      <c r="AA71"/>
      <c r="AB71"/>
      <c r="AC71"/>
    </row>
    <row r="72" spans="27:29" x14ac:dyDescent="0.2">
      <c r="AA72"/>
      <c r="AB72"/>
      <c r="AC72"/>
    </row>
    <row r="73" spans="27:29" x14ac:dyDescent="0.2">
      <c r="AA73"/>
      <c r="AB73"/>
      <c r="AC73"/>
    </row>
    <row r="74" spans="27:29" x14ac:dyDescent="0.2">
      <c r="AA74"/>
      <c r="AB74"/>
      <c r="AC74"/>
    </row>
    <row r="75" spans="27:29" x14ac:dyDescent="0.2">
      <c r="AA75"/>
      <c r="AB75"/>
      <c r="AC75"/>
    </row>
    <row r="76" spans="27:29" x14ac:dyDescent="0.2">
      <c r="AA76"/>
      <c r="AB76"/>
      <c r="AC76"/>
    </row>
    <row r="77" spans="27:29" x14ac:dyDescent="0.2">
      <c r="AA77"/>
      <c r="AB77"/>
      <c r="AC77"/>
    </row>
    <row r="78" spans="27:29" x14ac:dyDescent="0.2">
      <c r="AA78"/>
      <c r="AB78"/>
      <c r="AC78"/>
    </row>
    <row r="79" spans="27:29" x14ac:dyDescent="0.2">
      <c r="AA79"/>
      <c r="AB79"/>
      <c r="AC79"/>
    </row>
    <row r="80" spans="27:29" x14ac:dyDescent="0.2">
      <c r="AA80"/>
      <c r="AB80"/>
      <c r="AC80"/>
    </row>
    <row r="81" spans="27:29" x14ac:dyDescent="0.2">
      <c r="AA81"/>
      <c r="AB81"/>
      <c r="AC81"/>
    </row>
    <row r="82" spans="27:29" x14ac:dyDescent="0.2">
      <c r="AA82"/>
      <c r="AB82"/>
      <c r="AC82"/>
    </row>
    <row r="83" spans="27:29" x14ac:dyDescent="0.2">
      <c r="AA83"/>
      <c r="AB83"/>
      <c r="AC83"/>
    </row>
    <row r="84" spans="27:29" x14ac:dyDescent="0.2">
      <c r="AA84"/>
      <c r="AB84"/>
      <c r="AC84"/>
    </row>
    <row r="85" spans="27:29" x14ac:dyDescent="0.2">
      <c r="AA85"/>
      <c r="AB85"/>
      <c r="AC85"/>
    </row>
    <row r="86" spans="27:29" x14ac:dyDescent="0.2">
      <c r="AA86"/>
      <c r="AB86"/>
      <c r="AC86"/>
    </row>
    <row r="87" spans="27:29" x14ac:dyDescent="0.2">
      <c r="AA87"/>
      <c r="AB87"/>
      <c r="AC87"/>
    </row>
    <row r="88" spans="27:29" x14ac:dyDescent="0.2">
      <c r="AA88"/>
      <c r="AB88"/>
      <c r="AC88"/>
    </row>
    <row r="89" spans="27:29" x14ac:dyDescent="0.2">
      <c r="AA89"/>
      <c r="AB89"/>
      <c r="AC89"/>
    </row>
    <row r="90" spans="27:29" x14ac:dyDescent="0.2">
      <c r="AA90"/>
      <c r="AB90"/>
      <c r="AC90"/>
    </row>
    <row r="91" spans="27:29" x14ac:dyDescent="0.2">
      <c r="AA91"/>
      <c r="AB91"/>
      <c r="AC91"/>
    </row>
    <row r="92" spans="27:29" x14ac:dyDescent="0.2">
      <c r="AA92"/>
      <c r="AB92"/>
      <c r="AC92"/>
    </row>
    <row r="93" spans="27:29" x14ac:dyDescent="0.2">
      <c r="AA93"/>
      <c r="AB93"/>
      <c r="AC93"/>
    </row>
    <row r="94" spans="27:29" x14ac:dyDescent="0.2">
      <c r="AA94"/>
      <c r="AB94"/>
      <c r="AC94"/>
    </row>
    <row r="95" spans="27:29" x14ac:dyDescent="0.2">
      <c r="AA95"/>
      <c r="AB95"/>
      <c r="AC95"/>
    </row>
    <row r="96" spans="27:29" x14ac:dyDescent="0.2">
      <c r="AA96"/>
      <c r="AB96"/>
      <c r="AC96"/>
    </row>
    <row r="97" spans="27:29" x14ac:dyDescent="0.2">
      <c r="AA97"/>
      <c r="AB97"/>
      <c r="AC97"/>
    </row>
    <row r="98" spans="27:29" x14ac:dyDescent="0.2">
      <c r="AA98"/>
      <c r="AB98"/>
      <c r="AC98"/>
    </row>
    <row r="99" spans="27:29" x14ac:dyDescent="0.2">
      <c r="AA99"/>
      <c r="AB99"/>
      <c r="AC99"/>
    </row>
    <row r="100" spans="27:29" x14ac:dyDescent="0.2">
      <c r="AA100"/>
      <c r="AB100"/>
      <c r="AC100"/>
    </row>
    <row r="101" spans="27:29" x14ac:dyDescent="0.2">
      <c r="AA101"/>
      <c r="AB101"/>
      <c r="AC101"/>
    </row>
    <row r="102" spans="27:29" x14ac:dyDescent="0.2">
      <c r="AA102"/>
      <c r="AB102"/>
      <c r="AC102"/>
    </row>
    <row r="103" spans="27:29" x14ac:dyDescent="0.2">
      <c r="AA103"/>
      <c r="AB103"/>
      <c r="AC103"/>
    </row>
    <row r="104" spans="27:29" x14ac:dyDescent="0.2">
      <c r="AA104"/>
      <c r="AB104"/>
      <c r="AC104"/>
    </row>
    <row r="105" spans="27:29" x14ac:dyDescent="0.2">
      <c r="AA105"/>
      <c r="AB105"/>
      <c r="AC105"/>
    </row>
    <row r="106" spans="27:29" x14ac:dyDescent="0.2">
      <c r="AA106"/>
      <c r="AB106"/>
      <c r="AC106"/>
    </row>
    <row r="107" spans="27:29" x14ac:dyDescent="0.2">
      <c r="AA107"/>
      <c r="AB107"/>
      <c r="AC107"/>
    </row>
    <row r="108" spans="27:29" x14ac:dyDescent="0.2">
      <c r="AA108"/>
      <c r="AB108"/>
      <c r="AC108"/>
    </row>
    <row r="109" spans="27:29" x14ac:dyDescent="0.2">
      <c r="AA109"/>
      <c r="AB109"/>
      <c r="AC109"/>
    </row>
    <row r="110" spans="27:29" x14ac:dyDescent="0.2">
      <c r="AA110"/>
      <c r="AB110"/>
      <c r="AC110"/>
    </row>
    <row r="111" spans="27:29" x14ac:dyDescent="0.2">
      <c r="AA111"/>
      <c r="AB111"/>
      <c r="AC111"/>
    </row>
    <row r="112" spans="27:29" x14ac:dyDescent="0.2">
      <c r="AA112"/>
      <c r="AB112"/>
      <c r="AC112"/>
    </row>
    <row r="113" spans="27:29" x14ac:dyDescent="0.2">
      <c r="AA113"/>
      <c r="AB113"/>
      <c r="AC113"/>
    </row>
    <row r="114" spans="27:29" x14ac:dyDescent="0.2">
      <c r="AA114"/>
      <c r="AB114"/>
      <c r="AC114"/>
    </row>
    <row r="115" spans="27:29" x14ac:dyDescent="0.2">
      <c r="AA115"/>
      <c r="AB115"/>
      <c r="AC115"/>
    </row>
    <row r="116" spans="27:29" x14ac:dyDescent="0.2">
      <c r="AA116"/>
      <c r="AB116"/>
      <c r="AC116"/>
    </row>
    <row r="117" spans="27:29" x14ac:dyDescent="0.2">
      <c r="AA117"/>
      <c r="AB117"/>
      <c r="AC117"/>
    </row>
    <row r="118" spans="27:29" x14ac:dyDescent="0.2">
      <c r="AA118"/>
      <c r="AB118"/>
      <c r="AC118"/>
    </row>
    <row r="119" spans="27:29" x14ac:dyDescent="0.2">
      <c r="AA119"/>
      <c r="AB119"/>
      <c r="AC119"/>
    </row>
    <row r="120" spans="27:29" x14ac:dyDescent="0.2">
      <c r="AA120"/>
      <c r="AB120"/>
      <c r="AC120"/>
    </row>
    <row r="121" spans="27:29" x14ac:dyDescent="0.2">
      <c r="AA121"/>
      <c r="AB121"/>
      <c r="AC121"/>
    </row>
    <row r="122" spans="27:29" x14ac:dyDescent="0.2">
      <c r="AA122"/>
      <c r="AB122"/>
      <c r="AC122"/>
    </row>
    <row r="123" spans="27:29" x14ac:dyDescent="0.2">
      <c r="AA123"/>
      <c r="AB123"/>
      <c r="AC123"/>
    </row>
    <row r="124" spans="27:29" x14ac:dyDescent="0.2">
      <c r="AA124"/>
      <c r="AB124"/>
      <c r="AC124"/>
    </row>
    <row r="125" spans="27:29" x14ac:dyDescent="0.2">
      <c r="AA125"/>
      <c r="AB125"/>
      <c r="AC125"/>
    </row>
    <row r="126" spans="27:29" x14ac:dyDescent="0.2">
      <c r="AA126"/>
      <c r="AB126"/>
      <c r="AC126"/>
    </row>
    <row r="127" spans="27:29" x14ac:dyDescent="0.2">
      <c r="AA127"/>
      <c r="AB127"/>
      <c r="AC127"/>
    </row>
    <row r="128" spans="27:29" x14ac:dyDescent="0.2">
      <c r="AA128"/>
      <c r="AB128"/>
      <c r="AC128"/>
    </row>
    <row r="129" spans="27:29" x14ac:dyDescent="0.2">
      <c r="AA129"/>
      <c r="AB129"/>
      <c r="AC129"/>
    </row>
    <row r="130" spans="27:29" x14ac:dyDescent="0.2">
      <c r="AA130"/>
      <c r="AB130"/>
      <c r="AC130"/>
    </row>
    <row r="131" spans="27:29" x14ac:dyDescent="0.2">
      <c r="AA131"/>
      <c r="AB131"/>
      <c r="AC131"/>
    </row>
    <row r="132" spans="27:29" x14ac:dyDescent="0.2">
      <c r="AA132"/>
      <c r="AB132"/>
      <c r="AC132"/>
    </row>
    <row r="133" spans="27:29" x14ac:dyDescent="0.2">
      <c r="AA133"/>
      <c r="AB133"/>
      <c r="AC133"/>
    </row>
    <row r="134" spans="27:29" x14ac:dyDescent="0.2">
      <c r="AA134"/>
      <c r="AB134"/>
      <c r="AC134"/>
    </row>
    <row r="135" spans="27:29" x14ac:dyDescent="0.2">
      <c r="AA135"/>
      <c r="AB135"/>
      <c r="AC135"/>
    </row>
    <row r="136" spans="27:29" x14ac:dyDescent="0.2">
      <c r="AA136"/>
      <c r="AB136"/>
      <c r="AC136"/>
    </row>
    <row r="137" spans="27:29" x14ac:dyDescent="0.2">
      <c r="AA137"/>
      <c r="AB137"/>
      <c r="AC137"/>
    </row>
    <row r="138" spans="27:29" x14ac:dyDescent="0.2">
      <c r="AA138"/>
      <c r="AB138"/>
      <c r="AC138"/>
    </row>
    <row r="139" spans="27:29" x14ac:dyDescent="0.2">
      <c r="AA139"/>
      <c r="AB139"/>
      <c r="AC139"/>
    </row>
    <row r="140" spans="27:29" x14ac:dyDescent="0.2">
      <c r="AA140"/>
      <c r="AB140"/>
      <c r="AC140"/>
    </row>
    <row r="141" spans="27:29" x14ac:dyDescent="0.2">
      <c r="AA141"/>
      <c r="AB141"/>
      <c r="AC141"/>
    </row>
    <row r="142" spans="27:29" x14ac:dyDescent="0.2">
      <c r="AA142"/>
      <c r="AB142"/>
      <c r="AC142"/>
    </row>
    <row r="143" spans="27:29" x14ac:dyDescent="0.2">
      <c r="AA143"/>
      <c r="AB143"/>
      <c r="AC143"/>
    </row>
    <row r="144" spans="27:29" x14ac:dyDescent="0.2">
      <c r="AA144"/>
      <c r="AB144"/>
      <c r="AC144"/>
    </row>
    <row r="145" spans="27:29" x14ac:dyDescent="0.2">
      <c r="AA145"/>
      <c r="AB145"/>
      <c r="AC145"/>
    </row>
    <row r="146" spans="27:29" x14ac:dyDescent="0.2">
      <c r="AA146"/>
      <c r="AB146"/>
      <c r="AC146"/>
    </row>
    <row r="147" spans="27:29" x14ac:dyDescent="0.2">
      <c r="AA147"/>
      <c r="AB147"/>
      <c r="AC147"/>
    </row>
    <row r="148" spans="27:29" x14ac:dyDescent="0.2">
      <c r="AA148"/>
      <c r="AB148"/>
      <c r="AC148"/>
    </row>
    <row r="149" spans="27:29" x14ac:dyDescent="0.2">
      <c r="AA149"/>
      <c r="AB149"/>
      <c r="AC149"/>
    </row>
    <row r="150" spans="27:29" x14ac:dyDescent="0.2">
      <c r="AA150"/>
      <c r="AB150"/>
      <c r="AC150"/>
    </row>
    <row r="151" spans="27:29" x14ac:dyDescent="0.2">
      <c r="AA151"/>
      <c r="AB151"/>
      <c r="AC151"/>
    </row>
    <row r="152" spans="27:29" x14ac:dyDescent="0.2">
      <c r="AA152"/>
      <c r="AB152"/>
      <c r="AC152"/>
    </row>
    <row r="153" spans="27:29" x14ac:dyDescent="0.2">
      <c r="AA153"/>
      <c r="AB153"/>
      <c r="AC153"/>
    </row>
    <row r="154" spans="27:29" x14ac:dyDescent="0.2">
      <c r="AA154"/>
      <c r="AB154"/>
      <c r="AC154"/>
    </row>
    <row r="155" spans="27:29" x14ac:dyDescent="0.2">
      <c r="AA155"/>
      <c r="AB155"/>
      <c r="AC155"/>
    </row>
    <row r="156" spans="27:29" x14ac:dyDescent="0.2">
      <c r="AA156"/>
      <c r="AB156"/>
      <c r="AC156"/>
    </row>
    <row r="157" spans="27:29" x14ac:dyDescent="0.2">
      <c r="AA157"/>
      <c r="AB157"/>
      <c r="AC157"/>
    </row>
    <row r="158" spans="27:29" x14ac:dyDescent="0.2">
      <c r="AA158"/>
      <c r="AB158"/>
      <c r="AC158"/>
    </row>
    <row r="159" spans="27:29" x14ac:dyDescent="0.2">
      <c r="AA159"/>
      <c r="AB159"/>
      <c r="AC159"/>
    </row>
    <row r="160" spans="27:29" x14ac:dyDescent="0.2">
      <c r="AA160"/>
      <c r="AB160"/>
      <c r="AC160"/>
    </row>
    <row r="161" spans="27:29" x14ac:dyDescent="0.2">
      <c r="AA161"/>
      <c r="AB161"/>
      <c r="AC161"/>
    </row>
    <row r="162" spans="27:29" x14ac:dyDescent="0.2">
      <c r="AA162"/>
      <c r="AB162"/>
      <c r="AC162"/>
    </row>
    <row r="163" spans="27:29" x14ac:dyDescent="0.2">
      <c r="AA163"/>
      <c r="AB163"/>
      <c r="AC163"/>
    </row>
    <row r="164" spans="27:29" x14ac:dyDescent="0.2">
      <c r="AA164"/>
      <c r="AB164"/>
      <c r="AC164"/>
    </row>
    <row r="165" spans="27:29" x14ac:dyDescent="0.2">
      <c r="AA165"/>
      <c r="AB165"/>
      <c r="AC165"/>
    </row>
    <row r="166" spans="27:29" x14ac:dyDescent="0.2">
      <c r="AA166"/>
      <c r="AB166"/>
      <c r="AC166"/>
    </row>
    <row r="167" spans="27:29" x14ac:dyDescent="0.2">
      <c r="AA167"/>
      <c r="AB167"/>
      <c r="AC167"/>
    </row>
    <row r="168" spans="27:29" x14ac:dyDescent="0.2">
      <c r="AA168"/>
      <c r="AB168"/>
      <c r="AC168"/>
    </row>
    <row r="169" spans="27:29" x14ac:dyDescent="0.2">
      <c r="AA169"/>
      <c r="AB169"/>
      <c r="AC169"/>
    </row>
    <row r="170" spans="27:29" x14ac:dyDescent="0.2">
      <c r="AA170"/>
      <c r="AB170"/>
      <c r="AC170"/>
    </row>
    <row r="171" spans="27:29" x14ac:dyDescent="0.2">
      <c r="AA171"/>
      <c r="AB171"/>
      <c r="AC171"/>
    </row>
    <row r="172" spans="27:29" x14ac:dyDescent="0.2">
      <c r="AA172"/>
      <c r="AB172"/>
      <c r="AC172"/>
    </row>
    <row r="173" spans="27:29" x14ac:dyDescent="0.2">
      <c r="AA173"/>
      <c r="AB173"/>
      <c r="AC173"/>
    </row>
    <row r="174" spans="27:29" x14ac:dyDescent="0.2">
      <c r="AA174"/>
      <c r="AB174"/>
      <c r="AC174"/>
    </row>
    <row r="175" spans="27:29" x14ac:dyDescent="0.2">
      <c r="AA175"/>
      <c r="AB175"/>
      <c r="AC175"/>
    </row>
    <row r="176" spans="27:29" x14ac:dyDescent="0.2">
      <c r="AA176"/>
      <c r="AB176"/>
      <c r="AC176"/>
    </row>
    <row r="177" spans="27:29" x14ac:dyDescent="0.2">
      <c r="AA177"/>
      <c r="AB177"/>
      <c r="AC177"/>
    </row>
    <row r="178" spans="27:29" x14ac:dyDescent="0.2">
      <c r="AA178"/>
      <c r="AB178"/>
      <c r="AC178"/>
    </row>
    <row r="179" spans="27:29" x14ac:dyDescent="0.2">
      <c r="AA179"/>
      <c r="AB179"/>
      <c r="AC179"/>
    </row>
    <row r="180" spans="27:29" x14ac:dyDescent="0.2">
      <c r="AA180"/>
      <c r="AB180"/>
      <c r="AC180"/>
    </row>
    <row r="181" spans="27:29" x14ac:dyDescent="0.2">
      <c r="AA181"/>
      <c r="AB181"/>
      <c r="AC181"/>
    </row>
    <row r="182" spans="27:29" x14ac:dyDescent="0.2">
      <c r="AA182"/>
      <c r="AB182"/>
      <c r="AC182"/>
    </row>
    <row r="183" spans="27:29" x14ac:dyDescent="0.2">
      <c r="AA183"/>
      <c r="AB183"/>
      <c r="AC183"/>
    </row>
    <row r="184" spans="27:29" x14ac:dyDescent="0.2">
      <c r="AA184"/>
      <c r="AB184"/>
      <c r="AC184"/>
    </row>
    <row r="185" spans="27:29" x14ac:dyDescent="0.2">
      <c r="AA185"/>
      <c r="AB185"/>
      <c r="AC185"/>
    </row>
    <row r="186" spans="27:29" x14ac:dyDescent="0.2">
      <c r="AA186"/>
      <c r="AB186"/>
      <c r="AC186"/>
    </row>
    <row r="187" spans="27:29" x14ac:dyDescent="0.2">
      <c r="AA187"/>
      <c r="AB187"/>
      <c r="AC187"/>
    </row>
    <row r="188" spans="27:29" x14ac:dyDescent="0.2">
      <c r="AA188"/>
      <c r="AB188"/>
      <c r="AC188"/>
    </row>
    <row r="189" spans="27:29" x14ac:dyDescent="0.2">
      <c r="AA189"/>
      <c r="AB189"/>
      <c r="AC189"/>
    </row>
    <row r="190" spans="27:29" x14ac:dyDescent="0.2">
      <c r="AA190"/>
      <c r="AB190"/>
      <c r="AC190"/>
    </row>
    <row r="191" spans="27:29" x14ac:dyDescent="0.2">
      <c r="AA191"/>
      <c r="AB191"/>
      <c r="AC191"/>
    </row>
    <row r="192" spans="27:29" x14ac:dyDescent="0.2">
      <c r="AA192"/>
      <c r="AB192"/>
      <c r="AC192"/>
    </row>
    <row r="193" spans="27:29" x14ac:dyDescent="0.2">
      <c r="AA193"/>
      <c r="AB193"/>
      <c r="AC193"/>
    </row>
    <row r="194" spans="27:29" x14ac:dyDescent="0.2">
      <c r="AA194"/>
      <c r="AB194"/>
      <c r="AC194"/>
    </row>
    <row r="195" spans="27:29" x14ac:dyDescent="0.2">
      <c r="AA195"/>
      <c r="AB195"/>
      <c r="AC195"/>
    </row>
    <row r="196" spans="27:29" x14ac:dyDescent="0.2">
      <c r="AA196"/>
      <c r="AB196"/>
      <c r="AC196"/>
    </row>
    <row r="197" spans="27:29" x14ac:dyDescent="0.2">
      <c r="AA197"/>
      <c r="AB197"/>
      <c r="AC197"/>
    </row>
    <row r="198" spans="27:29" x14ac:dyDescent="0.2">
      <c r="AA198"/>
      <c r="AB198"/>
      <c r="AC198"/>
    </row>
    <row r="199" spans="27:29" x14ac:dyDescent="0.2">
      <c r="AA199"/>
      <c r="AB199"/>
      <c r="AC199"/>
    </row>
    <row r="200" spans="27:29" x14ac:dyDescent="0.2">
      <c r="AA200"/>
      <c r="AB200"/>
      <c r="AC200"/>
    </row>
    <row r="201" spans="27:29" x14ac:dyDescent="0.2">
      <c r="AA201"/>
      <c r="AB201"/>
      <c r="AC201"/>
    </row>
    <row r="202" spans="27:29" x14ac:dyDescent="0.2">
      <c r="AA202"/>
      <c r="AB202"/>
      <c r="AC202"/>
    </row>
    <row r="203" spans="27:29" x14ac:dyDescent="0.2">
      <c r="AA203"/>
      <c r="AB203"/>
      <c r="AC203"/>
    </row>
    <row r="204" spans="27:29" x14ac:dyDescent="0.2">
      <c r="AA204"/>
      <c r="AB204"/>
      <c r="AC204"/>
    </row>
    <row r="205" spans="27:29" x14ac:dyDescent="0.2">
      <c r="AA205"/>
      <c r="AB205"/>
      <c r="AC205"/>
    </row>
    <row r="206" spans="27:29" x14ac:dyDescent="0.2">
      <c r="AA206"/>
      <c r="AB206"/>
      <c r="AC206"/>
    </row>
    <row r="207" spans="27:29" x14ac:dyDescent="0.2">
      <c r="AA207"/>
      <c r="AB207"/>
      <c r="AC207"/>
    </row>
    <row r="208" spans="27:29" x14ac:dyDescent="0.2">
      <c r="AA208"/>
      <c r="AB208"/>
      <c r="AC208"/>
    </row>
    <row r="209" spans="27:29" x14ac:dyDescent="0.2">
      <c r="AA209"/>
      <c r="AB209"/>
      <c r="AC209"/>
    </row>
    <row r="210" spans="27:29" x14ac:dyDescent="0.2">
      <c r="AA210"/>
      <c r="AB210"/>
      <c r="AC210"/>
    </row>
    <row r="211" spans="27:29" x14ac:dyDescent="0.2">
      <c r="AA211"/>
      <c r="AB211"/>
      <c r="AC211"/>
    </row>
    <row r="212" spans="27:29" x14ac:dyDescent="0.2">
      <c r="AA212"/>
      <c r="AB212"/>
      <c r="AC212"/>
    </row>
    <row r="213" spans="27:29" x14ac:dyDescent="0.2">
      <c r="AA213"/>
      <c r="AB213"/>
      <c r="AC213"/>
    </row>
    <row r="214" spans="27:29" x14ac:dyDescent="0.2">
      <c r="AA214"/>
      <c r="AB214"/>
      <c r="AC214"/>
    </row>
    <row r="215" spans="27:29" x14ac:dyDescent="0.2">
      <c r="AA215"/>
      <c r="AB215"/>
      <c r="AC215"/>
    </row>
    <row r="216" spans="27:29" x14ac:dyDescent="0.2">
      <c r="AA216"/>
      <c r="AB216"/>
      <c r="AC216"/>
    </row>
    <row r="217" spans="27:29" x14ac:dyDescent="0.2">
      <c r="AA217"/>
      <c r="AB217"/>
      <c r="AC217"/>
    </row>
    <row r="218" spans="27:29" x14ac:dyDescent="0.2">
      <c r="AA218"/>
      <c r="AB218"/>
      <c r="AC218"/>
    </row>
    <row r="219" spans="27:29" x14ac:dyDescent="0.2">
      <c r="AA219"/>
      <c r="AB219"/>
      <c r="AC219"/>
    </row>
    <row r="220" spans="27:29" x14ac:dyDescent="0.2">
      <c r="AA220"/>
      <c r="AB220"/>
      <c r="AC220"/>
    </row>
    <row r="221" spans="27:29" x14ac:dyDescent="0.2">
      <c r="AA221"/>
      <c r="AB221"/>
      <c r="AC221"/>
    </row>
    <row r="222" spans="27:29" x14ac:dyDescent="0.2">
      <c r="AA222"/>
      <c r="AB222"/>
      <c r="AC222"/>
    </row>
    <row r="223" spans="27:29" x14ac:dyDescent="0.2">
      <c r="AA223"/>
      <c r="AB223"/>
      <c r="AC223"/>
    </row>
    <row r="224" spans="27:29" x14ac:dyDescent="0.2">
      <c r="AA224"/>
      <c r="AB224"/>
      <c r="AC224"/>
    </row>
    <row r="225" spans="27:29" x14ac:dyDescent="0.2">
      <c r="AA225"/>
      <c r="AB225"/>
      <c r="AC225"/>
    </row>
    <row r="226" spans="27:29" x14ac:dyDescent="0.2">
      <c r="AA226"/>
      <c r="AB226"/>
      <c r="AC226"/>
    </row>
    <row r="227" spans="27:29" x14ac:dyDescent="0.2">
      <c r="AA227"/>
      <c r="AB227"/>
      <c r="AC227"/>
    </row>
    <row r="228" spans="27:29" x14ac:dyDescent="0.2">
      <c r="AA228"/>
      <c r="AB228"/>
      <c r="AC228"/>
    </row>
    <row r="229" spans="27:29" x14ac:dyDescent="0.2">
      <c r="AA229"/>
      <c r="AB229"/>
      <c r="AC229"/>
    </row>
    <row r="230" spans="27:29" x14ac:dyDescent="0.2">
      <c r="AA230"/>
      <c r="AB230"/>
      <c r="AC230"/>
    </row>
    <row r="231" spans="27:29" x14ac:dyDescent="0.2">
      <c r="AA231"/>
      <c r="AB231"/>
      <c r="AC231"/>
    </row>
    <row r="232" spans="27:29" x14ac:dyDescent="0.2">
      <c r="AA232"/>
      <c r="AB232"/>
      <c r="AC232"/>
    </row>
    <row r="233" spans="27:29" x14ac:dyDescent="0.2">
      <c r="AA233"/>
      <c r="AB233"/>
      <c r="AC233"/>
    </row>
    <row r="234" spans="27:29" x14ac:dyDescent="0.2">
      <c r="AA234"/>
      <c r="AB234"/>
      <c r="AC234"/>
    </row>
    <row r="235" spans="27:29" x14ac:dyDescent="0.2">
      <c r="AA235"/>
      <c r="AB235"/>
      <c r="AC235"/>
    </row>
    <row r="236" spans="27:29" x14ac:dyDescent="0.2">
      <c r="AA236"/>
      <c r="AB236"/>
      <c r="AC236"/>
    </row>
    <row r="237" spans="27:29" x14ac:dyDescent="0.2">
      <c r="AA237"/>
      <c r="AB237"/>
      <c r="AC237"/>
    </row>
    <row r="238" spans="27:29" x14ac:dyDescent="0.2">
      <c r="AA238"/>
      <c r="AB238"/>
      <c r="AC238"/>
    </row>
    <row r="239" spans="27:29" x14ac:dyDescent="0.2">
      <c r="AA239"/>
      <c r="AB239"/>
      <c r="AC239"/>
    </row>
    <row r="240" spans="27:29" x14ac:dyDescent="0.2">
      <c r="AA240"/>
      <c r="AB240"/>
      <c r="AC240"/>
    </row>
    <row r="241" spans="27:29" x14ac:dyDescent="0.2">
      <c r="AA241"/>
      <c r="AB241"/>
      <c r="AC241"/>
    </row>
    <row r="242" spans="27:29" x14ac:dyDescent="0.2">
      <c r="AA242"/>
      <c r="AB242"/>
      <c r="AC242"/>
    </row>
    <row r="243" spans="27:29" x14ac:dyDescent="0.2">
      <c r="AA243"/>
      <c r="AB243"/>
      <c r="AC243"/>
    </row>
    <row r="244" spans="27:29" x14ac:dyDescent="0.2">
      <c r="AA244"/>
      <c r="AB244"/>
      <c r="AC244"/>
    </row>
    <row r="245" spans="27:29" x14ac:dyDescent="0.2">
      <c r="AA245"/>
      <c r="AB245"/>
      <c r="AC245"/>
    </row>
    <row r="246" spans="27:29" x14ac:dyDescent="0.2">
      <c r="AA246"/>
      <c r="AB246"/>
      <c r="AC246"/>
    </row>
    <row r="247" spans="27:29" x14ac:dyDescent="0.2">
      <c r="AA247"/>
      <c r="AB247"/>
      <c r="AC247"/>
    </row>
    <row r="248" spans="27:29" x14ac:dyDescent="0.2">
      <c r="AA248"/>
      <c r="AB248"/>
      <c r="AC248"/>
    </row>
    <row r="249" spans="27:29" x14ac:dyDescent="0.2">
      <c r="AA249"/>
      <c r="AB249"/>
      <c r="AC249"/>
    </row>
    <row r="250" spans="27:29" x14ac:dyDescent="0.2">
      <c r="AA250"/>
      <c r="AB250"/>
      <c r="AC250"/>
    </row>
    <row r="251" spans="27:29" x14ac:dyDescent="0.2">
      <c r="AA251"/>
      <c r="AB251"/>
      <c r="AC251"/>
    </row>
    <row r="252" spans="27:29" x14ac:dyDescent="0.2">
      <c r="AA252"/>
      <c r="AB252"/>
      <c r="AC252"/>
    </row>
    <row r="253" spans="27:29" x14ac:dyDescent="0.2">
      <c r="AA253"/>
      <c r="AB253"/>
      <c r="AC253"/>
    </row>
    <row r="254" spans="27:29" x14ac:dyDescent="0.2">
      <c r="AA254"/>
      <c r="AB254"/>
      <c r="AC254"/>
    </row>
    <row r="255" spans="27:29" x14ac:dyDescent="0.2">
      <c r="AA255"/>
      <c r="AB255"/>
      <c r="AC255"/>
    </row>
    <row r="256" spans="27:29" x14ac:dyDescent="0.2">
      <c r="AA256"/>
      <c r="AB256"/>
      <c r="AC256"/>
    </row>
    <row r="257" spans="27:29" x14ac:dyDescent="0.2">
      <c r="AA257"/>
      <c r="AB257"/>
      <c r="AC257"/>
    </row>
    <row r="258" spans="27:29" x14ac:dyDescent="0.2">
      <c r="AA258"/>
      <c r="AB258"/>
      <c r="AC258"/>
    </row>
    <row r="259" spans="27:29" x14ac:dyDescent="0.2">
      <c r="AA259"/>
      <c r="AB259"/>
      <c r="AC259"/>
    </row>
    <row r="260" spans="27:29" x14ac:dyDescent="0.2">
      <c r="AA260"/>
      <c r="AB260"/>
      <c r="AC260"/>
    </row>
    <row r="261" spans="27:29" x14ac:dyDescent="0.2">
      <c r="AA261"/>
      <c r="AB261"/>
      <c r="AC261"/>
    </row>
    <row r="262" spans="27:29" x14ac:dyDescent="0.2">
      <c r="AA262"/>
      <c r="AB262"/>
      <c r="AC262"/>
    </row>
    <row r="263" spans="27:29" x14ac:dyDescent="0.2">
      <c r="AA263"/>
      <c r="AB263"/>
      <c r="AC263"/>
    </row>
    <row r="264" spans="27:29" x14ac:dyDescent="0.2">
      <c r="AA264"/>
      <c r="AB264"/>
      <c r="AC264"/>
    </row>
    <row r="265" spans="27:29" x14ac:dyDescent="0.2">
      <c r="AA265"/>
      <c r="AB265"/>
      <c r="AC265"/>
    </row>
    <row r="266" spans="27:29" x14ac:dyDescent="0.2">
      <c r="AA266"/>
      <c r="AB266"/>
      <c r="AC266"/>
    </row>
    <row r="267" spans="27:29" x14ac:dyDescent="0.2">
      <c r="AA267"/>
      <c r="AB267"/>
      <c r="AC267"/>
    </row>
    <row r="268" spans="27:29" x14ac:dyDescent="0.2">
      <c r="AA268"/>
      <c r="AB268"/>
      <c r="AC268"/>
    </row>
    <row r="269" spans="27:29" x14ac:dyDescent="0.2">
      <c r="AA269"/>
      <c r="AB269"/>
      <c r="AC269"/>
    </row>
    <row r="270" spans="27:29" x14ac:dyDescent="0.2">
      <c r="AA270"/>
      <c r="AB270"/>
      <c r="AC270"/>
    </row>
    <row r="271" spans="27:29" x14ac:dyDescent="0.2">
      <c r="AA271"/>
      <c r="AB271"/>
      <c r="AC271"/>
    </row>
    <row r="272" spans="27:29" x14ac:dyDescent="0.2">
      <c r="AA272"/>
      <c r="AB272"/>
      <c r="AC272"/>
    </row>
    <row r="273" spans="27:29" x14ac:dyDescent="0.2">
      <c r="AA273"/>
      <c r="AB273"/>
      <c r="AC273"/>
    </row>
    <row r="274" spans="27:29" x14ac:dyDescent="0.2">
      <c r="AA274"/>
      <c r="AB274"/>
      <c r="AC274"/>
    </row>
    <row r="275" spans="27:29" x14ac:dyDescent="0.2">
      <c r="AA275"/>
      <c r="AB275"/>
      <c r="AC275"/>
    </row>
    <row r="276" spans="27:29" x14ac:dyDescent="0.2">
      <c r="AA276"/>
      <c r="AB276"/>
      <c r="AC276"/>
    </row>
    <row r="277" spans="27:29" x14ac:dyDescent="0.2">
      <c r="AA277"/>
      <c r="AB277"/>
      <c r="AC277"/>
    </row>
    <row r="278" spans="27:29" x14ac:dyDescent="0.2">
      <c r="AA278"/>
      <c r="AB278"/>
      <c r="AC278"/>
    </row>
    <row r="279" spans="27:29" x14ac:dyDescent="0.2">
      <c r="AA279"/>
      <c r="AB279"/>
      <c r="AC279"/>
    </row>
    <row r="280" spans="27:29" x14ac:dyDescent="0.2">
      <c r="AA280"/>
      <c r="AB280"/>
      <c r="AC280"/>
    </row>
    <row r="281" spans="27:29" x14ac:dyDescent="0.2">
      <c r="AA281"/>
      <c r="AB281"/>
      <c r="AC281"/>
    </row>
    <row r="282" spans="27:29" x14ac:dyDescent="0.2">
      <c r="AA282"/>
      <c r="AB282"/>
      <c r="AC282"/>
    </row>
    <row r="283" spans="27:29" x14ac:dyDescent="0.2">
      <c r="AA283"/>
      <c r="AB283"/>
      <c r="AC283"/>
    </row>
    <row r="284" spans="27:29" x14ac:dyDescent="0.2">
      <c r="AA284"/>
      <c r="AB284"/>
      <c r="AC284"/>
    </row>
    <row r="285" spans="27:29" x14ac:dyDescent="0.2">
      <c r="AA285"/>
      <c r="AB285"/>
      <c r="AC285"/>
    </row>
    <row r="286" spans="27:29" x14ac:dyDescent="0.2">
      <c r="AA286"/>
      <c r="AB286"/>
      <c r="AC286"/>
    </row>
    <row r="287" spans="27:29" x14ac:dyDescent="0.2">
      <c r="AA287"/>
      <c r="AB287"/>
      <c r="AC287"/>
    </row>
    <row r="288" spans="27:29" x14ac:dyDescent="0.2">
      <c r="AA288"/>
      <c r="AB288"/>
      <c r="AC288"/>
    </row>
    <row r="289" spans="27:29" x14ac:dyDescent="0.2">
      <c r="AA289"/>
      <c r="AB289"/>
      <c r="AC289"/>
    </row>
    <row r="290" spans="27:29" x14ac:dyDescent="0.2">
      <c r="AA290"/>
      <c r="AB290"/>
      <c r="AC290"/>
    </row>
    <row r="291" spans="27:29" x14ac:dyDescent="0.2">
      <c r="AA291"/>
      <c r="AB291"/>
      <c r="AC291"/>
    </row>
    <row r="292" spans="27:29" x14ac:dyDescent="0.2">
      <c r="AA292"/>
      <c r="AB292"/>
      <c r="AC292"/>
    </row>
    <row r="293" spans="27:29" x14ac:dyDescent="0.2">
      <c r="AA293"/>
      <c r="AB293"/>
      <c r="AC293"/>
    </row>
    <row r="294" spans="27:29" x14ac:dyDescent="0.2">
      <c r="AA294"/>
      <c r="AB294"/>
      <c r="AC294"/>
    </row>
    <row r="295" spans="27:29" x14ac:dyDescent="0.2">
      <c r="AA295"/>
      <c r="AB295"/>
      <c r="AC295"/>
    </row>
    <row r="296" spans="27:29" x14ac:dyDescent="0.2">
      <c r="AA296"/>
      <c r="AB296"/>
      <c r="AC296"/>
    </row>
    <row r="297" spans="27:29" x14ac:dyDescent="0.2">
      <c r="AA297"/>
      <c r="AB297"/>
      <c r="AC297"/>
    </row>
    <row r="298" spans="27:29" x14ac:dyDescent="0.2">
      <c r="AA298"/>
      <c r="AB298"/>
      <c r="AC298"/>
    </row>
    <row r="299" spans="27:29" x14ac:dyDescent="0.2">
      <c r="AA299"/>
      <c r="AB299"/>
      <c r="AC299"/>
    </row>
    <row r="300" spans="27:29" x14ac:dyDescent="0.2">
      <c r="AA300"/>
      <c r="AB300"/>
      <c r="AC300"/>
    </row>
    <row r="301" spans="27:29" x14ac:dyDescent="0.2">
      <c r="AA301"/>
      <c r="AB301"/>
      <c r="AC301"/>
    </row>
    <row r="302" spans="27:29" x14ac:dyDescent="0.2">
      <c r="AA302"/>
      <c r="AB302"/>
      <c r="AC302"/>
    </row>
    <row r="303" spans="27:29" x14ac:dyDescent="0.2">
      <c r="AA303"/>
      <c r="AB303"/>
      <c r="AC303"/>
    </row>
    <row r="304" spans="27:29" x14ac:dyDescent="0.2">
      <c r="AA304"/>
      <c r="AB304"/>
      <c r="AC304"/>
    </row>
    <row r="305" spans="27:29" x14ac:dyDescent="0.2">
      <c r="AA305"/>
      <c r="AB305"/>
      <c r="AC305"/>
    </row>
    <row r="306" spans="27:29" x14ac:dyDescent="0.2">
      <c r="AA306"/>
      <c r="AB306"/>
      <c r="AC306"/>
    </row>
    <row r="307" spans="27:29" x14ac:dyDescent="0.2">
      <c r="AA307"/>
      <c r="AB307"/>
      <c r="AC307"/>
    </row>
    <row r="308" spans="27:29" x14ac:dyDescent="0.2">
      <c r="AA308"/>
      <c r="AB308"/>
      <c r="AC308"/>
    </row>
    <row r="309" spans="27:29" x14ac:dyDescent="0.2">
      <c r="AA309"/>
      <c r="AB309"/>
      <c r="AC309"/>
    </row>
    <row r="310" spans="27:29" x14ac:dyDescent="0.2">
      <c r="AA310"/>
      <c r="AB310"/>
      <c r="AC310"/>
    </row>
    <row r="311" spans="27:29" x14ac:dyDescent="0.2">
      <c r="AA311"/>
      <c r="AB311"/>
      <c r="AC311"/>
    </row>
    <row r="312" spans="27:29" x14ac:dyDescent="0.2">
      <c r="AA312"/>
      <c r="AB312"/>
      <c r="AC312"/>
    </row>
    <row r="313" spans="27:29" x14ac:dyDescent="0.2">
      <c r="AA313"/>
      <c r="AB313"/>
      <c r="AC313"/>
    </row>
    <row r="314" spans="27:29" x14ac:dyDescent="0.2">
      <c r="AA314"/>
      <c r="AB314"/>
      <c r="AC314"/>
    </row>
    <row r="315" spans="27:29" x14ac:dyDescent="0.2">
      <c r="AA315"/>
      <c r="AB315"/>
      <c r="AC315"/>
    </row>
    <row r="316" spans="27:29" x14ac:dyDescent="0.2">
      <c r="AA316"/>
      <c r="AB316"/>
      <c r="AC316"/>
    </row>
    <row r="317" spans="27:29" x14ac:dyDescent="0.2">
      <c r="AA317"/>
      <c r="AB317"/>
      <c r="AC317"/>
    </row>
    <row r="318" spans="27:29" x14ac:dyDescent="0.2">
      <c r="AA318"/>
      <c r="AB318"/>
      <c r="AC318"/>
    </row>
    <row r="319" spans="27:29" x14ac:dyDescent="0.2">
      <c r="AA319"/>
      <c r="AB319"/>
      <c r="AC319"/>
    </row>
    <row r="320" spans="27:29" x14ac:dyDescent="0.2">
      <c r="AA320"/>
      <c r="AB320"/>
      <c r="AC320"/>
    </row>
    <row r="321" spans="27:29" x14ac:dyDescent="0.2">
      <c r="AA321"/>
      <c r="AB321"/>
      <c r="AC321"/>
    </row>
    <row r="322" spans="27:29" x14ac:dyDescent="0.2">
      <c r="AA322"/>
      <c r="AB322"/>
      <c r="AC322"/>
    </row>
    <row r="323" spans="27:29" x14ac:dyDescent="0.2">
      <c r="AA323"/>
      <c r="AB323"/>
      <c r="AC323"/>
    </row>
    <row r="324" spans="27:29" x14ac:dyDescent="0.2">
      <c r="AA324"/>
      <c r="AB324"/>
      <c r="AC324"/>
    </row>
    <row r="325" spans="27:29" x14ac:dyDescent="0.2">
      <c r="AA325"/>
      <c r="AB325"/>
      <c r="AC325"/>
    </row>
    <row r="326" spans="27:29" x14ac:dyDescent="0.2">
      <c r="AA326"/>
      <c r="AB326"/>
      <c r="AC326"/>
    </row>
    <row r="327" spans="27:29" x14ac:dyDescent="0.2">
      <c r="AA327"/>
      <c r="AB327"/>
      <c r="AC327"/>
    </row>
    <row r="328" spans="27:29" x14ac:dyDescent="0.2">
      <c r="AA328"/>
      <c r="AB328"/>
      <c r="AC328"/>
    </row>
    <row r="329" spans="27:29" x14ac:dyDescent="0.2">
      <c r="AA329"/>
      <c r="AB329"/>
      <c r="AC329"/>
    </row>
    <row r="330" spans="27:29" x14ac:dyDescent="0.2">
      <c r="AA330"/>
      <c r="AB330"/>
      <c r="AC330"/>
    </row>
    <row r="331" spans="27:29" x14ac:dyDescent="0.2">
      <c r="AA331"/>
      <c r="AB331"/>
      <c r="AC331"/>
    </row>
    <row r="332" spans="27:29" x14ac:dyDescent="0.2">
      <c r="AA332"/>
      <c r="AB332"/>
      <c r="AC332"/>
    </row>
    <row r="333" spans="27:29" x14ac:dyDescent="0.2">
      <c r="AA333"/>
      <c r="AB333"/>
      <c r="AC333"/>
    </row>
    <row r="334" spans="27:29" x14ac:dyDescent="0.2">
      <c r="AA334"/>
      <c r="AB334"/>
      <c r="AC334"/>
    </row>
    <row r="335" spans="27:29" x14ac:dyDescent="0.2">
      <c r="AA335"/>
      <c r="AB335"/>
      <c r="AC335"/>
    </row>
    <row r="336" spans="27:29" x14ac:dyDescent="0.2">
      <c r="AA336"/>
      <c r="AB336"/>
      <c r="AC336"/>
    </row>
    <row r="337" spans="27:29" x14ac:dyDescent="0.2">
      <c r="AA337"/>
      <c r="AB337"/>
      <c r="AC337"/>
    </row>
    <row r="338" spans="27:29" x14ac:dyDescent="0.2">
      <c r="AA338"/>
      <c r="AB338"/>
      <c r="AC338"/>
    </row>
    <row r="339" spans="27:29" x14ac:dyDescent="0.2">
      <c r="AA339"/>
      <c r="AB339"/>
      <c r="AC339"/>
    </row>
    <row r="340" spans="27:29" x14ac:dyDescent="0.2">
      <c r="AA340"/>
      <c r="AB340"/>
      <c r="AC340"/>
    </row>
    <row r="341" spans="27:29" x14ac:dyDescent="0.2">
      <c r="AA341"/>
      <c r="AB341"/>
      <c r="AC341"/>
    </row>
    <row r="342" spans="27:29" x14ac:dyDescent="0.2">
      <c r="AA342"/>
      <c r="AB342"/>
      <c r="AC342"/>
    </row>
    <row r="343" spans="27:29" x14ac:dyDescent="0.2">
      <c r="AA343"/>
      <c r="AB343"/>
      <c r="AC343"/>
    </row>
    <row r="344" spans="27:29" x14ac:dyDescent="0.2">
      <c r="AA344"/>
      <c r="AB344"/>
      <c r="AC344"/>
    </row>
    <row r="345" spans="27:29" x14ac:dyDescent="0.2">
      <c r="AA345"/>
      <c r="AB345"/>
      <c r="AC345"/>
    </row>
    <row r="346" spans="27:29" x14ac:dyDescent="0.2">
      <c r="AA346"/>
      <c r="AB346"/>
      <c r="AC346"/>
    </row>
    <row r="347" spans="27:29" x14ac:dyDescent="0.2">
      <c r="AA347"/>
      <c r="AB347"/>
      <c r="AC347"/>
    </row>
    <row r="348" spans="27:29" x14ac:dyDescent="0.2">
      <c r="AA348"/>
      <c r="AB348"/>
      <c r="AC348"/>
    </row>
    <row r="349" spans="27:29" x14ac:dyDescent="0.2">
      <c r="AA349"/>
      <c r="AB349"/>
      <c r="AC349"/>
    </row>
    <row r="350" spans="27:29" x14ac:dyDescent="0.2">
      <c r="AA350"/>
      <c r="AB350"/>
      <c r="AC350"/>
    </row>
    <row r="351" spans="27:29" x14ac:dyDescent="0.2">
      <c r="AA351"/>
      <c r="AB351"/>
      <c r="AC351"/>
    </row>
    <row r="352" spans="27:29" x14ac:dyDescent="0.2">
      <c r="AA352"/>
      <c r="AB352"/>
      <c r="AC352"/>
    </row>
    <row r="353" spans="27:29" x14ac:dyDescent="0.2">
      <c r="AA353"/>
      <c r="AB353"/>
      <c r="AC353"/>
    </row>
    <row r="354" spans="27:29" x14ac:dyDescent="0.2">
      <c r="AA354"/>
      <c r="AB354"/>
      <c r="AC354"/>
    </row>
    <row r="355" spans="27:29" x14ac:dyDescent="0.2">
      <c r="AA355"/>
      <c r="AB355"/>
      <c r="AC355"/>
    </row>
    <row r="356" spans="27:29" x14ac:dyDescent="0.2">
      <c r="AA356"/>
      <c r="AB356"/>
      <c r="AC356"/>
    </row>
    <row r="357" spans="27:29" x14ac:dyDescent="0.2">
      <c r="AA357"/>
      <c r="AB357"/>
      <c r="AC357"/>
    </row>
    <row r="358" spans="27:29" x14ac:dyDescent="0.2">
      <c r="AA358"/>
      <c r="AB358"/>
      <c r="AC358"/>
    </row>
    <row r="359" spans="27:29" x14ac:dyDescent="0.2">
      <c r="AA359"/>
      <c r="AB359"/>
      <c r="AC359"/>
    </row>
    <row r="360" spans="27:29" x14ac:dyDescent="0.2">
      <c r="AA360"/>
      <c r="AB360"/>
      <c r="AC360"/>
    </row>
    <row r="361" spans="27:29" x14ac:dyDescent="0.2">
      <c r="AA361"/>
      <c r="AB361"/>
      <c r="AC361"/>
    </row>
    <row r="362" spans="27:29" x14ac:dyDescent="0.2">
      <c r="AA362"/>
      <c r="AB362"/>
      <c r="AC362"/>
    </row>
    <row r="363" spans="27:29" x14ac:dyDescent="0.2">
      <c r="AA363"/>
      <c r="AB363"/>
      <c r="AC363"/>
    </row>
    <row r="364" spans="27:29" x14ac:dyDescent="0.2">
      <c r="AA364"/>
      <c r="AB364"/>
      <c r="AC364"/>
    </row>
    <row r="365" spans="27:29" x14ac:dyDescent="0.2">
      <c r="AA365"/>
      <c r="AB365"/>
      <c r="AC365"/>
    </row>
    <row r="366" spans="27:29" x14ac:dyDescent="0.2">
      <c r="AA366"/>
      <c r="AB366"/>
      <c r="AC366"/>
    </row>
    <row r="367" spans="27:29" x14ac:dyDescent="0.2">
      <c r="AA367"/>
      <c r="AB367"/>
      <c r="AC367"/>
    </row>
    <row r="368" spans="27:29" x14ac:dyDescent="0.2">
      <c r="AA368"/>
      <c r="AB368"/>
      <c r="AC368"/>
    </row>
    <row r="369" spans="27:29" x14ac:dyDescent="0.2">
      <c r="AA369"/>
      <c r="AB369"/>
      <c r="AC369"/>
    </row>
    <row r="370" spans="27:29" x14ac:dyDescent="0.2">
      <c r="AA370"/>
      <c r="AB370"/>
      <c r="AC370"/>
    </row>
    <row r="371" spans="27:29" x14ac:dyDescent="0.2">
      <c r="AA371"/>
      <c r="AB371"/>
      <c r="AC371"/>
    </row>
    <row r="372" spans="27:29" x14ac:dyDescent="0.2">
      <c r="AA372"/>
      <c r="AB372"/>
      <c r="AC372"/>
    </row>
    <row r="373" spans="27:29" x14ac:dyDescent="0.2">
      <c r="AA373"/>
      <c r="AB373"/>
      <c r="AC373"/>
    </row>
    <row r="374" spans="27:29" x14ac:dyDescent="0.2">
      <c r="AA374"/>
      <c r="AB374"/>
      <c r="AC374"/>
    </row>
    <row r="375" spans="27:29" x14ac:dyDescent="0.2">
      <c r="AA375"/>
      <c r="AB375"/>
      <c r="AC375"/>
    </row>
    <row r="376" spans="27:29" x14ac:dyDescent="0.2">
      <c r="AA376"/>
      <c r="AB376"/>
      <c r="AC376"/>
    </row>
    <row r="377" spans="27:29" x14ac:dyDescent="0.2">
      <c r="AA377"/>
      <c r="AB377"/>
      <c r="AC377"/>
    </row>
    <row r="378" spans="27:29" x14ac:dyDescent="0.2">
      <c r="AA378"/>
      <c r="AB378"/>
      <c r="AC378"/>
    </row>
    <row r="379" spans="27:29" x14ac:dyDescent="0.2">
      <c r="AA379"/>
      <c r="AB379"/>
      <c r="AC379"/>
    </row>
    <row r="380" spans="27:29" x14ac:dyDescent="0.2">
      <c r="AA380"/>
      <c r="AB380"/>
      <c r="AC380"/>
    </row>
    <row r="381" spans="27:29" x14ac:dyDescent="0.2">
      <c r="AA381"/>
      <c r="AB381"/>
      <c r="AC381"/>
    </row>
    <row r="382" spans="27:29" x14ac:dyDescent="0.2">
      <c r="AA382"/>
      <c r="AB382"/>
      <c r="AC382"/>
    </row>
    <row r="383" spans="27:29" x14ac:dyDescent="0.2">
      <c r="AA383"/>
      <c r="AB383"/>
      <c r="AC383"/>
    </row>
    <row r="384" spans="27:29" x14ac:dyDescent="0.2">
      <c r="AA384"/>
      <c r="AB384"/>
      <c r="AC384"/>
    </row>
    <row r="385" spans="27:29" x14ac:dyDescent="0.2">
      <c r="AA385"/>
      <c r="AB385"/>
      <c r="AC385"/>
    </row>
    <row r="386" spans="27:29" x14ac:dyDescent="0.2">
      <c r="AA386"/>
      <c r="AB386"/>
      <c r="AC386"/>
    </row>
    <row r="387" spans="27:29" x14ac:dyDescent="0.2">
      <c r="AA387"/>
      <c r="AB387"/>
      <c r="AC387"/>
    </row>
    <row r="388" spans="27:29" x14ac:dyDescent="0.2">
      <c r="AA388"/>
      <c r="AB388"/>
      <c r="AC388"/>
    </row>
    <row r="389" spans="27:29" x14ac:dyDescent="0.2">
      <c r="AA389"/>
      <c r="AB389"/>
      <c r="AC389"/>
    </row>
    <row r="390" spans="27:29" x14ac:dyDescent="0.2">
      <c r="AA390"/>
      <c r="AB390"/>
      <c r="AC390"/>
    </row>
    <row r="391" spans="27:29" x14ac:dyDescent="0.2">
      <c r="AA391"/>
      <c r="AB391"/>
      <c r="AC391"/>
    </row>
    <row r="392" spans="27:29" x14ac:dyDescent="0.2">
      <c r="AA392"/>
      <c r="AB392"/>
      <c r="AC392"/>
    </row>
    <row r="393" spans="27:29" x14ac:dyDescent="0.2">
      <c r="AA393"/>
      <c r="AB393"/>
      <c r="AC393"/>
    </row>
    <row r="394" spans="27:29" x14ac:dyDescent="0.2">
      <c r="AA394"/>
      <c r="AB394"/>
      <c r="AC394"/>
    </row>
    <row r="395" spans="27:29" x14ac:dyDescent="0.2">
      <c r="AA395"/>
      <c r="AB395"/>
      <c r="AC395"/>
    </row>
    <row r="396" spans="27:29" x14ac:dyDescent="0.2">
      <c r="AA396"/>
      <c r="AB396"/>
      <c r="AC396"/>
    </row>
    <row r="397" spans="27:29" x14ac:dyDescent="0.2">
      <c r="AA397"/>
      <c r="AB397"/>
      <c r="AC397"/>
    </row>
    <row r="398" spans="27:29" x14ac:dyDescent="0.2">
      <c r="AA398"/>
      <c r="AB398"/>
      <c r="AC398"/>
    </row>
    <row r="399" spans="27:29" x14ac:dyDescent="0.2">
      <c r="AA399"/>
      <c r="AB399"/>
      <c r="AC399"/>
    </row>
    <row r="400" spans="27:29" x14ac:dyDescent="0.2">
      <c r="AA400"/>
      <c r="AB400"/>
      <c r="AC400"/>
    </row>
    <row r="401" spans="27:29" x14ac:dyDescent="0.2">
      <c r="AA401"/>
      <c r="AB401"/>
      <c r="AC401"/>
    </row>
    <row r="402" spans="27:29" x14ac:dyDescent="0.2">
      <c r="AA402"/>
      <c r="AB402"/>
      <c r="AC402"/>
    </row>
    <row r="403" spans="27:29" x14ac:dyDescent="0.2">
      <c r="AA403"/>
      <c r="AB403"/>
      <c r="AC403"/>
    </row>
    <row r="404" spans="27:29" x14ac:dyDescent="0.2">
      <c r="AA404"/>
      <c r="AB404"/>
      <c r="AC404"/>
    </row>
    <row r="405" spans="27:29" x14ac:dyDescent="0.2">
      <c r="AA405"/>
      <c r="AB405"/>
      <c r="AC405"/>
    </row>
    <row r="406" spans="27:29" x14ac:dyDescent="0.2">
      <c r="AA406"/>
      <c r="AB406"/>
      <c r="AC406"/>
    </row>
    <row r="407" spans="27:29" x14ac:dyDescent="0.2">
      <c r="AA407"/>
      <c r="AB407"/>
      <c r="AC407"/>
    </row>
    <row r="408" spans="27:29" x14ac:dyDescent="0.2">
      <c r="AA408"/>
      <c r="AB408"/>
      <c r="AC408"/>
    </row>
    <row r="409" spans="27:29" x14ac:dyDescent="0.2">
      <c r="AA409"/>
      <c r="AB409"/>
      <c r="AC409"/>
    </row>
    <row r="410" spans="27:29" x14ac:dyDescent="0.2">
      <c r="AA410"/>
      <c r="AB410"/>
      <c r="AC410"/>
    </row>
    <row r="411" spans="27:29" x14ac:dyDescent="0.2">
      <c r="AA411"/>
      <c r="AB411"/>
      <c r="AC411"/>
    </row>
    <row r="412" spans="27:29" x14ac:dyDescent="0.2">
      <c r="AA412"/>
      <c r="AB412"/>
      <c r="AC412"/>
    </row>
    <row r="413" spans="27:29" x14ac:dyDescent="0.2">
      <c r="AA413"/>
      <c r="AB413"/>
      <c r="AC413"/>
    </row>
    <row r="414" spans="27:29" x14ac:dyDescent="0.2">
      <c r="AA414"/>
      <c r="AB414"/>
      <c r="AC414"/>
    </row>
    <row r="415" spans="27:29" x14ac:dyDescent="0.2">
      <c r="AA415"/>
      <c r="AB415"/>
      <c r="AC415"/>
    </row>
    <row r="416" spans="27:29" x14ac:dyDescent="0.2">
      <c r="AA416"/>
      <c r="AB416"/>
      <c r="AC416"/>
    </row>
    <row r="417" spans="27:29" x14ac:dyDescent="0.2">
      <c r="AA417"/>
      <c r="AB417"/>
      <c r="AC417"/>
    </row>
    <row r="418" spans="27:29" x14ac:dyDescent="0.2">
      <c r="AA418"/>
      <c r="AB418"/>
      <c r="AC418"/>
    </row>
    <row r="419" spans="27:29" x14ac:dyDescent="0.2">
      <c r="AA419"/>
      <c r="AB419"/>
      <c r="AC419"/>
    </row>
    <row r="420" spans="27:29" x14ac:dyDescent="0.2">
      <c r="AA420"/>
      <c r="AB420"/>
      <c r="AC420"/>
    </row>
    <row r="421" spans="27:29" x14ac:dyDescent="0.2">
      <c r="AA421"/>
      <c r="AB421"/>
      <c r="AC421"/>
    </row>
    <row r="422" spans="27:29" x14ac:dyDescent="0.2">
      <c r="AA422"/>
      <c r="AB422"/>
      <c r="AC422"/>
    </row>
    <row r="423" spans="27:29" x14ac:dyDescent="0.2">
      <c r="AA423"/>
      <c r="AB423"/>
      <c r="AC423"/>
    </row>
    <row r="424" spans="27:29" x14ac:dyDescent="0.2">
      <c r="AA424"/>
      <c r="AB424"/>
      <c r="AC424"/>
    </row>
    <row r="425" spans="27:29" x14ac:dyDescent="0.2">
      <c r="AA425"/>
      <c r="AB425"/>
      <c r="AC425"/>
    </row>
    <row r="426" spans="27:29" x14ac:dyDescent="0.2">
      <c r="AA426"/>
      <c r="AB426"/>
      <c r="AC426"/>
    </row>
    <row r="427" spans="27:29" x14ac:dyDescent="0.2">
      <c r="AA427"/>
      <c r="AB427"/>
      <c r="AC427"/>
    </row>
    <row r="428" spans="27:29" x14ac:dyDescent="0.2">
      <c r="AA428"/>
      <c r="AB428"/>
      <c r="AC428"/>
    </row>
    <row r="429" spans="27:29" x14ac:dyDescent="0.2">
      <c r="AA429"/>
      <c r="AB429"/>
      <c r="AC429"/>
    </row>
    <row r="430" spans="27:29" x14ac:dyDescent="0.2">
      <c r="AA430"/>
      <c r="AB430"/>
      <c r="AC430"/>
    </row>
    <row r="431" spans="27:29" x14ac:dyDescent="0.2">
      <c r="AA431"/>
      <c r="AB431"/>
      <c r="AC431"/>
    </row>
    <row r="432" spans="27:29" x14ac:dyDescent="0.2">
      <c r="AA432"/>
      <c r="AB432"/>
      <c r="AC432"/>
    </row>
    <row r="433" spans="27:29" x14ac:dyDescent="0.2">
      <c r="AA433"/>
      <c r="AB433"/>
      <c r="AC433"/>
    </row>
    <row r="434" spans="27:29" x14ac:dyDescent="0.2">
      <c r="AA434"/>
      <c r="AB434"/>
      <c r="AC434"/>
    </row>
    <row r="435" spans="27:29" x14ac:dyDescent="0.2">
      <c r="AA435"/>
      <c r="AB435"/>
      <c r="AC435"/>
    </row>
    <row r="436" spans="27:29" x14ac:dyDescent="0.2">
      <c r="AA436"/>
      <c r="AB436"/>
      <c r="AC436"/>
    </row>
    <row r="437" spans="27:29" x14ac:dyDescent="0.2">
      <c r="AA437"/>
      <c r="AB437"/>
      <c r="AC437"/>
    </row>
    <row r="438" spans="27:29" x14ac:dyDescent="0.2">
      <c r="AA438"/>
      <c r="AB438"/>
      <c r="AC438"/>
    </row>
    <row r="439" spans="27:29" x14ac:dyDescent="0.2">
      <c r="AA439"/>
      <c r="AB439"/>
      <c r="AC439"/>
    </row>
    <row r="440" spans="27:29" x14ac:dyDescent="0.2">
      <c r="AA440"/>
      <c r="AB440"/>
      <c r="AC440"/>
    </row>
    <row r="441" spans="27:29" x14ac:dyDescent="0.2">
      <c r="AA441"/>
      <c r="AB441"/>
      <c r="AC441"/>
    </row>
    <row r="442" spans="27:29" x14ac:dyDescent="0.2">
      <c r="AA442"/>
      <c r="AB442"/>
      <c r="AC442"/>
    </row>
    <row r="443" spans="27:29" x14ac:dyDescent="0.2">
      <c r="AA443"/>
      <c r="AB443"/>
      <c r="AC443"/>
    </row>
    <row r="444" spans="27:29" x14ac:dyDescent="0.2">
      <c r="AA444"/>
      <c r="AB444"/>
      <c r="AC444"/>
    </row>
    <row r="445" spans="27:29" x14ac:dyDescent="0.2">
      <c r="AA445"/>
      <c r="AB445"/>
      <c r="AC445"/>
    </row>
    <row r="446" spans="27:29" x14ac:dyDescent="0.2">
      <c r="AA446"/>
      <c r="AB446"/>
      <c r="AC446"/>
    </row>
    <row r="447" spans="27:29" x14ac:dyDescent="0.2">
      <c r="AA447"/>
      <c r="AB447"/>
      <c r="AC447"/>
    </row>
    <row r="448" spans="27:29" x14ac:dyDescent="0.2">
      <c r="AA448"/>
      <c r="AB448"/>
      <c r="AC448"/>
    </row>
    <row r="449" spans="27:29" x14ac:dyDescent="0.2">
      <c r="AA449"/>
      <c r="AB449"/>
      <c r="AC449"/>
    </row>
    <row r="450" spans="27:29" x14ac:dyDescent="0.2">
      <c r="AA450"/>
      <c r="AB450"/>
      <c r="AC450"/>
    </row>
    <row r="451" spans="27:29" x14ac:dyDescent="0.2">
      <c r="AA451"/>
      <c r="AB451"/>
      <c r="AC451"/>
    </row>
    <row r="452" spans="27:29" x14ac:dyDescent="0.2">
      <c r="AA452"/>
      <c r="AB452"/>
      <c r="AC452"/>
    </row>
    <row r="453" spans="27:29" x14ac:dyDescent="0.2">
      <c r="AA453"/>
      <c r="AB453"/>
      <c r="AC453"/>
    </row>
    <row r="454" spans="27:29" x14ac:dyDescent="0.2">
      <c r="AA454"/>
      <c r="AB454"/>
      <c r="AC454"/>
    </row>
    <row r="455" spans="27:29" x14ac:dyDescent="0.2">
      <c r="AA455"/>
      <c r="AB455"/>
      <c r="AC455"/>
    </row>
    <row r="456" spans="27:29" x14ac:dyDescent="0.2">
      <c r="AA456"/>
      <c r="AB456"/>
      <c r="AC456"/>
    </row>
    <row r="457" spans="27:29" x14ac:dyDescent="0.2">
      <c r="AA457"/>
      <c r="AB457"/>
      <c r="AC457"/>
    </row>
    <row r="458" spans="27:29" x14ac:dyDescent="0.2">
      <c r="AA458"/>
      <c r="AB458"/>
      <c r="AC458"/>
    </row>
    <row r="459" spans="27:29" x14ac:dyDescent="0.2">
      <c r="AA459"/>
      <c r="AB459"/>
      <c r="AC459"/>
    </row>
    <row r="460" spans="27:29" x14ac:dyDescent="0.2">
      <c r="AA460"/>
      <c r="AB460"/>
      <c r="AC460"/>
    </row>
    <row r="461" spans="27:29" x14ac:dyDescent="0.2">
      <c r="AA461"/>
      <c r="AB461"/>
      <c r="AC461"/>
    </row>
    <row r="462" spans="27:29" x14ac:dyDescent="0.2">
      <c r="AA462"/>
      <c r="AB462"/>
      <c r="AC462"/>
    </row>
    <row r="463" spans="27:29" x14ac:dyDescent="0.2">
      <c r="AA463"/>
      <c r="AB463"/>
      <c r="AC463"/>
    </row>
    <row r="464" spans="27:29" x14ac:dyDescent="0.2">
      <c r="AA464"/>
      <c r="AB464"/>
      <c r="AC464"/>
    </row>
    <row r="465" spans="27:29" x14ac:dyDescent="0.2">
      <c r="AA465"/>
      <c r="AB465"/>
      <c r="AC465"/>
    </row>
    <row r="466" spans="27:29" x14ac:dyDescent="0.2">
      <c r="AA466"/>
      <c r="AB466"/>
      <c r="AC466"/>
    </row>
    <row r="467" spans="27:29" x14ac:dyDescent="0.2">
      <c r="AA467"/>
      <c r="AB467"/>
      <c r="AC467"/>
    </row>
    <row r="468" spans="27:29" x14ac:dyDescent="0.2">
      <c r="AA468"/>
      <c r="AB468"/>
      <c r="AC468"/>
    </row>
    <row r="469" spans="27:29" x14ac:dyDescent="0.2">
      <c r="AA469"/>
      <c r="AB469"/>
      <c r="AC469"/>
    </row>
    <row r="470" spans="27:29" x14ac:dyDescent="0.2">
      <c r="AA470"/>
      <c r="AB470"/>
      <c r="AC470"/>
    </row>
    <row r="471" spans="27:29" x14ac:dyDescent="0.2">
      <c r="AA471"/>
      <c r="AB471"/>
      <c r="AC471"/>
    </row>
    <row r="472" spans="27:29" x14ac:dyDescent="0.2">
      <c r="AA472"/>
      <c r="AB472"/>
      <c r="AC472"/>
    </row>
    <row r="473" spans="27:29" x14ac:dyDescent="0.2">
      <c r="AA473"/>
      <c r="AB473"/>
      <c r="AC473"/>
    </row>
    <row r="474" spans="27:29" x14ac:dyDescent="0.2">
      <c r="AA474"/>
      <c r="AB474"/>
      <c r="AC474"/>
    </row>
    <row r="475" spans="27:29" x14ac:dyDescent="0.2">
      <c r="AA475"/>
      <c r="AB475"/>
      <c r="AC475"/>
    </row>
    <row r="476" spans="27:29" x14ac:dyDescent="0.2">
      <c r="AA476"/>
      <c r="AB476"/>
      <c r="AC476"/>
    </row>
    <row r="477" spans="27:29" x14ac:dyDescent="0.2">
      <c r="AA477"/>
      <c r="AB477"/>
      <c r="AC477"/>
    </row>
    <row r="478" spans="27:29" x14ac:dyDescent="0.2">
      <c r="AA478"/>
      <c r="AB478"/>
      <c r="AC478"/>
    </row>
    <row r="479" spans="27:29" x14ac:dyDescent="0.2">
      <c r="AA479"/>
      <c r="AB479"/>
      <c r="AC479"/>
    </row>
    <row r="480" spans="27:29" x14ac:dyDescent="0.2">
      <c r="AA480"/>
      <c r="AB480"/>
      <c r="AC480"/>
    </row>
    <row r="481" spans="27:29" x14ac:dyDescent="0.2">
      <c r="AA481"/>
      <c r="AB481"/>
      <c r="AC481"/>
    </row>
    <row r="482" spans="27:29" x14ac:dyDescent="0.2">
      <c r="AA482"/>
      <c r="AB482"/>
      <c r="AC482"/>
    </row>
    <row r="483" spans="27:29" x14ac:dyDescent="0.2">
      <c r="AA483"/>
      <c r="AB483"/>
      <c r="AC483"/>
    </row>
    <row r="484" spans="27:29" x14ac:dyDescent="0.2">
      <c r="AA484"/>
      <c r="AB484"/>
      <c r="AC484"/>
    </row>
    <row r="485" spans="27:29" x14ac:dyDescent="0.2">
      <c r="AA485"/>
      <c r="AB485"/>
      <c r="AC485"/>
    </row>
    <row r="486" spans="27:29" x14ac:dyDescent="0.2">
      <c r="AA486"/>
      <c r="AB486"/>
      <c r="AC486"/>
    </row>
    <row r="487" spans="27:29" x14ac:dyDescent="0.2">
      <c r="AA487"/>
      <c r="AB487"/>
      <c r="AC487"/>
    </row>
    <row r="488" spans="27:29" x14ac:dyDescent="0.2">
      <c r="AA488"/>
      <c r="AB488"/>
      <c r="AC488"/>
    </row>
    <row r="489" spans="27:29" x14ac:dyDescent="0.2">
      <c r="AA489"/>
      <c r="AB489"/>
      <c r="AC489"/>
    </row>
    <row r="490" spans="27:29" x14ac:dyDescent="0.2">
      <c r="AA490"/>
      <c r="AB490"/>
      <c r="AC490"/>
    </row>
    <row r="491" spans="27:29" x14ac:dyDescent="0.2">
      <c r="AA491"/>
      <c r="AB491"/>
      <c r="AC491"/>
    </row>
    <row r="492" spans="27:29" x14ac:dyDescent="0.2">
      <c r="AA492"/>
      <c r="AB492"/>
      <c r="AC492"/>
    </row>
    <row r="493" spans="27:29" x14ac:dyDescent="0.2">
      <c r="AA493"/>
      <c r="AB493"/>
      <c r="AC493"/>
    </row>
    <row r="494" spans="27:29" x14ac:dyDescent="0.2">
      <c r="AA494"/>
      <c r="AB494"/>
      <c r="AC494"/>
    </row>
    <row r="495" spans="27:29" x14ac:dyDescent="0.2">
      <c r="AA495"/>
      <c r="AB495"/>
      <c r="AC495"/>
    </row>
    <row r="496" spans="27:29" x14ac:dyDescent="0.2">
      <c r="AA496"/>
      <c r="AB496"/>
      <c r="AC496"/>
    </row>
    <row r="497" spans="27:29" x14ac:dyDescent="0.2">
      <c r="AA497"/>
      <c r="AB497"/>
      <c r="AC497"/>
    </row>
    <row r="498" spans="27:29" x14ac:dyDescent="0.2">
      <c r="AA498"/>
      <c r="AB498"/>
      <c r="AC498"/>
    </row>
    <row r="499" spans="27:29" x14ac:dyDescent="0.2">
      <c r="AA499"/>
      <c r="AB499"/>
      <c r="AC499"/>
    </row>
    <row r="500" spans="27:29" x14ac:dyDescent="0.2">
      <c r="AA500"/>
      <c r="AB500"/>
      <c r="AC500"/>
    </row>
  </sheetData>
  <dataConsolidate/>
  <mergeCells count="18">
    <mergeCell ref="A1:A2"/>
    <mergeCell ref="AB7:AB12"/>
    <mergeCell ref="AD7:AD12"/>
    <mergeCell ref="AB13:AB18"/>
    <mergeCell ref="AD13:AD18"/>
    <mergeCell ref="A3:B3"/>
    <mergeCell ref="G3:Q3"/>
    <mergeCell ref="AB37:AB42"/>
    <mergeCell ref="AD37:AD42"/>
    <mergeCell ref="AB43:AB48"/>
    <mergeCell ref="AD43:AD48"/>
    <mergeCell ref="C1:F2"/>
    <mergeCell ref="AD25:AD30"/>
    <mergeCell ref="AB31:AB36"/>
    <mergeCell ref="AD31:AD36"/>
    <mergeCell ref="AB19:AB24"/>
    <mergeCell ref="AD19:AD24"/>
    <mergeCell ref="AB25:AB30"/>
  </mergeCells>
  <printOptions horizontalCentered="1" verticalCentered="1"/>
  <pageMargins left="0.15" right="0.15" top="0.25" bottom="0.15" header="0.15" footer="0.15"/>
  <pageSetup paperSize="9" scale="3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4049" r:id="rId4" name="Button 1">
              <controlPr defaultSize="0" print="0" autoFill="0" autoPict="0" macro="[0]!createSchedule">
                <anchor moveWithCells="1" sizeWithCells="1">
                  <from>
                    <xdr:col>36</xdr:col>
                    <xdr:colOff>104775</xdr:colOff>
                    <xdr:row>0</xdr:row>
                    <xdr:rowOff>66675</xdr:rowOff>
                  </from>
                  <to>
                    <xdr:col>39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0" r:id="rId5" name="Button 2">
              <controlPr defaultSize="0" print="0" autoFill="0" autoPict="0" macro="[0]!clearVesselBackGroundColor">
                <anchor moveWithCells="1" sizeWithCells="1">
                  <from>
                    <xdr:col>39</xdr:col>
                    <xdr:colOff>38100</xdr:colOff>
                    <xdr:row>0</xdr:row>
                    <xdr:rowOff>57150</xdr:rowOff>
                  </from>
                  <to>
                    <xdr:col>41</xdr:col>
                    <xdr:colOff>219075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051" r:id="rId6" name="Button 3">
              <controlPr defaultSize="0" print="0" autoFill="0" autoPict="0" macro="[0]!setVesselBackGroundColor">
                <anchor moveWithCells="1" sizeWithCells="1">
                  <from>
                    <xdr:col>41</xdr:col>
                    <xdr:colOff>257175</xdr:colOff>
                    <xdr:row>0</xdr:row>
                    <xdr:rowOff>57150</xdr:rowOff>
                  </from>
                  <to>
                    <xdr:col>43</xdr:col>
                    <xdr:colOff>361950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87"/>
  <sheetViews>
    <sheetView tabSelected="1" workbookViewId="0">
      <selection activeCell="E8" sqref="E8"/>
    </sheetView>
  </sheetViews>
  <sheetFormatPr defaultRowHeight="12.75" x14ac:dyDescent="0.2"/>
  <cols>
    <col min="1" max="1" width="14.42578125" bestFit="1" customWidth="1"/>
    <col min="7" max="14" width="9.140625" customWidth="1"/>
    <col min="15" max="15" width="12.28515625" style="106" customWidth="1"/>
    <col min="16" max="16" width="12.140625" style="107" customWidth="1"/>
    <col min="17" max="17" width="12.5703125" style="106" bestFit="1" customWidth="1"/>
    <col min="18" max="18" width="12.140625" style="107" bestFit="1" customWidth="1"/>
    <col min="19" max="19" width="12.5703125" style="106" bestFit="1" customWidth="1"/>
    <col min="20" max="20" width="12.28515625" style="107" bestFit="1" customWidth="1"/>
    <col min="21" max="21" width="16.140625" bestFit="1" customWidth="1"/>
    <col min="22" max="31" width="9.140625" customWidth="1"/>
    <col min="32" max="32" width="10.85546875" customWidth="1"/>
    <col min="33" max="39" width="9.140625" customWidth="1"/>
    <col min="40" max="40" width="14.7109375" bestFit="1" customWidth="1"/>
    <col min="41" max="41" width="9.140625" customWidth="1"/>
    <col min="42" max="42" width="15.7109375" bestFit="1" customWidth="1"/>
    <col min="43" max="44" width="9.140625" customWidth="1"/>
    <col min="45" max="45" width="9.85546875" customWidth="1"/>
    <col min="46" max="47" width="10" customWidth="1"/>
    <col min="48" max="48" width="33.42578125" customWidth="1"/>
  </cols>
  <sheetData>
    <row r="1" spans="1:53" ht="15.75" x14ac:dyDescent="0.25">
      <c r="A1" s="370" t="s">
        <v>10</v>
      </c>
      <c r="B1" s="439" t="s">
        <v>22</v>
      </c>
      <c r="C1" s="439"/>
      <c r="D1" s="439"/>
      <c r="E1" s="439"/>
      <c r="F1" s="439"/>
      <c r="G1" s="439" t="s">
        <v>9</v>
      </c>
      <c r="H1" s="439"/>
      <c r="I1" s="439" t="s">
        <v>4</v>
      </c>
      <c r="J1" s="439"/>
      <c r="K1" s="440" t="s">
        <v>33</v>
      </c>
      <c r="L1" s="441"/>
      <c r="M1" s="440" t="s">
        <v>32</v>
      </c>
      <c r="N1" s="441"/>
      <c r="O1" s="112" t="s">
        <v>38</v>
      </c>
      <c r="P1" s="113" t="s">
        <v>39</v>
      </c>
      <c r="Q1" s="108" t="s">
        <v>36</v>
      </c>
      <c r="R1" s="110" t="s">
        <v>37</v>
      </c>
      <c r="S1" s="109" t="s">
        <v>35</v>
      </c>
      <c r="T1" s="114" t="s">
        <v>40</v>
      </c>
      <c r="U1" s="442" t="s">
        <v>5</v>
      </c>
      <c r="V1" s="442"/>
      <c r="W1" s="29" t="s">
        <v>26</v>
      </c>
      <c r="X1" s="442" t="s">
        <v>6</v>
      </c>
      <c r="Y1" s="442"/>
      <c r="Z1" s="442" t="s">
        <v>7</v>
      </c>
      <c r="AA1" s="442"/>
      <c r="AB1" s="442" t="s">
        <v>8</v>
      </c>
      <c r="AC1" s="442"/>
      <c r="AD1" s="442" t="s">
        <v>27</v>
      </c>
      <c r="AE1" s="442"/>
      <c r="AF1" s="442"/>
      <c r="AG1" s="442" t="s">
        <v>28</v>
      </c>
      <c r="AH1" s="442"/>
      <c r="AI1" s="442"/>
      <c r="AJ1" s="442"/>
      <c r="AK1" s="442" t="s">
        <v>29</v>
      </c>
      <c r="AL1" s="442"/>
      <c r="AM1" s="442"/>
      <c r="AN1" s="21" t="s">
        <v>30</v>
      </c>
      <c r="AO1" s="22"/>
      <c r="AP1" s="30" t="s">
        <v>31</v>
      </c>
      <c r="AQ1" s="30"/>
      <c r="AR1" s="30"/>
      <c r="AS1" s="102" t="s">
        <v>21</v>
      </c>
      <c r="AT1" s="103" t="s">
        <v>23</v>
      </c>
      <c r="AU1" s="32" t="s">
        <v>25</v>
      </c>
      <c r="AV1" s="111" t="s">
        <v>24</v>
      </c>
      <c r="AW1" s="115" t="s">
        <v>45</v>
      </c>
      <c r="AX1" s="378" t="s">
        <v>48</v>
      </c>
      <c r="AY1" s="378" t="s">
        <v>49</v>
      </c>
      <c r="AZ1" s="379" t="s">
        <v>50</v>
      </c>
      <c r="BA1" s="379" t="s">
        <v>51</v>
      </c>
    </row>
    <row r="2" spans="1:53" x14ac:dyDescent="0.2">
      <c r="O2"/>
      <c r="P2"/>
      <c r="Q2"/>
      <c r="R2"/>
      <c r="S2"/>
      <c r="T2"/>
    </row>
    <row r="3" spans="1:53" x14ac:dyDescent="0.2">
      <c r="O3"/>
      <c r="P3"/>
      <c r="Q3"/>
      <c r="R3"/>
      <c r="S3"/>
      <c r="T3"/>
    </row>
    <row r="4" spans="1:53" x14ac:dyDescent="0.2">
      <c r="O4"/>
      <c r="P4"/>
      <c r="Q4"/>
      <c r="R4"/>
      <c r="S4"/>
      <c r="T4"/>
    </row>
    <row r="5" spans="1:53" x14ac:dyDescent="0.2">
      <c r="O5"/>
      <c r="P5"/>
      <c r="Q5"/>
      <c r="R5"/>
      <c r="S5"/>
      <c r="T5"/>
    </row>
    <row r="6" spans="1:53" x14ac:dyDescent="0.2">
      <c r="O6"/>
      <c r="P6"/>
      <c r="Q6"/>
      <c r="R6"/>
      <c r="S6"/>
      <c r="T6"/>
    </row>
    <row r="7" spans="1:53" x14ac:dyDescent="0.2">
      <c r="O7"/>
      <c r="P7"/>
      <c r="Q7"/>
      <c r="R7"/>
      <c r="S7"/>
      <c r="T7"/>
    </row>
    <row r="8" spans="1:53" x14ac:dyDescent="0.2">
      <c r="O8"/>
      <c r="P8"/>
      <c r="Q8"/>
      <c r="R8"/>
      <c r="S8"/>
      <c r="T8"/>
    </row>
    <row r="9" spans="1:53" x14ac:dyDescent="0.2">
      <c r="O9"/>
      <c r="P9"/>
      <c r="Q9"/>
      <c r="R9"/>
      <c r="S9"/>
      <c r="T9"/>
    </row>
    <row r="10" spans="1:53" x14ac:dyDescent="0.2">
      <c r="O10"/>
      <c r="P10"/>
      <c r="Q10"/>
      <c r="R10"/>
      <c r="S10"/>
      <c r="T10"/>
    </row>
    <row r="11" spans="1:53" x14ac:dyDescent="0.2">
      <c r="O11"/>
      <c r="P11"/>
      <c r="Q11"/>
      <c r="R11"/>
      <c r="S11"/>
      <c r="T11"/>
    </row>
    <row r="12" spans="1:53" x14ac:dyDescent="0.2">
      <c r="O12"/>
      <c r="P12"/>
      <c r="Q12"/>
      <c r="R12"/>
      <c r="S12"/>
      <c r="T12"/>
    </row>
    <row r="13" spans="1:53" x14ac:dyDescent="0.2">
      <c r="O13"/>
      <c r="P13"/>
      <c r="Q13"/>
      <c r="R13"/>
      <c r="S13"/>
      <c r="T13"/>
    </row>
    <row r="14" spans="1:53" x14ac:dyDescent="0.2">
      <c r="O14"/>
      <c r="P14"/>
      <c r="Q14"/>
      <c r="R14"/>
      <c r="S14"/>
      <c r="T14"/>
    </row>
    <row r="15" spans="1:53" x14ac:dyDescent="0.2">
      <c r="O15"/>
      <c r="P15"/>
      <c r="Q15"/>
      <c r="R15"/>
      <c r="S15"/>
      <c r="T15"/>
    </row>
    <row r="16" spans="1:53" x14ac:dyDescent="0.2">
      <c r="O16"/>
      <c r="P16"/>
      <c r="Q16"/>
      <c r="R16"/>
      <c r="S16"/>
      <c r="T16"/>
    </row>
    <row r="17" spans="15:20" x14ac:dyDescent="0.2">
      <c r="O17"/>
      <c r="P17"/>
      <c r="Q17"/>
      <c r="R17"/>
      <c r="S17"/>
      <c r="T17"/>
    </row>
    <row r="18" spans="15:20" x14ac:dyDescent="0.2">
      <c r="O18"/>
      <c r="P18"/>
      <c r="Q18"/>
      <c r="R18"/>
      <c r="S18"/>
      <c r="T18"/>
    </row>
    <row r="19" spans="15:20" x14ac:dyDescent="0.2">
      <c r="O19"/>
      <c r="P19"/>
      <c r="Q19"/>
      <c r="R19"/>
      <c r="S19"/>
      <c r="T19"/>
    </row>
    <row r="20" spans="15:20" x14ac:dyDescent="0.2">
      <c r="O20"/>
      <c r="P20"/>
      <c r="Q20"/>
      <c r="R20"/>
      <c r="S20"/>
      <c r="T20"/>
    </row>
    <row r="21" spans="15:20" x14ac:dyDescent="0.2">
      <c r="O21"/>
      <c r="P21"/>
      <c r="Q21"/>
      <c r="R21"/>
      <c r="S21"/>
      <c r="T21"/>
    </row>
    <row r="22" spans="15:20" x14ac:dyDescent="0.2">
      <c r="O22"/>
      <c r="P22"/>
      <c r="Q22"/>
      <c r="R22"/>
      <c r="S22"/>
      <c r="T22"/>
    </row>
    <row r="23" spans="15:20" x14ac:dyDescent="0.2">
      <c r="O23"/>
      <c r="P23"/>
      <c r="Q23"/>
      <c r="R23"/>
      <c r="S23"/>
      <c r="T23"/>
    </row>
    <row r="24" spans="15:20" x14ac:dyDescent="0.2">
      <c r="O24"/>
      <c r="P24"/>
      <c r="Q24"/>
      <c r="R24"/>
      <c r="S24"/>
      <c r="T24"/>
    </row>
    <row r="25" spans="15:20" x14ac:dyDescent="0.2">
      <c r="O25"/>
      <c r="P25"/>
      <c r="Q25"/>
      <c r="R25"/>
      <c r="S25"/>
      <c r="T25"/>
    </row>
    <row r="26" spans="15:20" x14ac:dyDescent="0.2">
      <c r="O26"/>
      <c r="P26"/>
      <c r="Q26"/>
      <c r="R26"/>
      <c r="S26"/>
      <c r="T26"/>
    </row>
    <row r="27" spans="15:20" x14ac:dyDescent="0.2">
      <c r="O27"/>
      <c r="P27"/>
      <c r="Q27"/>
      <c r="R27"/>
      <c r="S27"/>
      <c r="T27"/>
    </row>
    <row r="28" spans="15:20" x14ac:dyDescent="0.2">
      <c r="O28"/>
      <c r="P28"/>
      <c r="Q28"/>
      <c r="R28"/>
      <c r="S28"/>
      <c r="T28"/>
    </row>
    <row r="29" spans="15:20" x14ac:dyDescent="0.2">
      <c r="O29"/>
      <c r="P29"/>
      <c r="Q29"/>
      <c r="R29"/>
      <c r="S29"/>
      <c r="T29"/>
    </row>
    <row r="30" spans="15:20" x14ac:dyDescent="0.2">
      <c r="O30"/>
      <c r="P30"/>
      <c r="Q30"/>
      <c r="R30"/>
      <c r="S30"/>
      <c r="T30"/>
    </row>
    <row r="31" spans="15:20" x14ac:dyDescent="0.2">
      <c r="O31"/>
      <c r="P31"/>
      <c r="Q31"/>
      <c r="R31"/>
      <c r="S31"/>
      <c r="T31"/>
    </row>
    <row r="32" spans="15:20" x14ac:dyDescent="0.2">
      <c r="O32"/>
      <c r="P32"/>
      <c r="Q32"/>
      <c r="R32"/>
      <c r="S32"/>
      <c r="T32"/>
    </row>
    <row r="33" spans="1:44" x14ac:dyDescent="0.2">
      <c r="O33"/>
      <c r="P33"/>
      <c r="Q33"/>
      <c r="R33"/>
      <c r="S33"/>
      <c r="T33"/>
    </row>
    <row r="34" spans="1:44" x14ac:dyDescent="0.2">
      <c r="O34"/>
      <c r="P34"/>
      <c r="Q34"/>
      <c r="R34"/>
      <c r="S34"/>
      <c r="T34"/>
    </row>
    <row r="35" spans="1:44" x14ac:dyDescent="0.2">
      <c r="O35"/>
      <c r="P35"/>
      <c r="Q35"/>
      <c r="R35"/>
      <c r="S35"/>
      <c r="T35"/>
    </row>
    <row r="36" spans="1:44" x14ac:dyDescent="0.2">
      <c r="O36"/>
      <c r="P36"/>
      <c r="Q36"/>
      <c r="R36"/>
      <c r="S36"/>
      <c r="T36"/>
    </row>
    <row r="37" spans="1:44" x14ac:dyDescent="0.2">
      <c r="O37"/>
      <c r="P37"/>
      <c r="Q37"/>
      <c r="R37"/>
      <c r="S37"/>
      <c r="T37"/>
    </row>
    <row r="38" spans="1:44" x14ac:dyDescent="0.2">
      <c r="O38"/>
      <c r="P38"/>
      <c r="Q38"/>
      <c r="R38"/>
      <c r="S38"/>
      <c r="T38"/>
    </row>
    <row r="39" spans="1:44" x14ac:dyDescent="0.2">
      <c r="O39"/>
      <c r="P39"/>
      <c r="Q39"/>
      <c r="R39"/>
      <c r="S39"/>
      <c r="T39"/>
    </row>
    <row r="40" spans="1:44" x14ac:dyDescent="0.2">
      <c r="O40"/>
      <c r="P40"/>
      <c r="Q40"/>
      <c r="R40"/>
      <c r="S40"/>
      <c r="T40"/>
    </row>
    <row r="41" spans="1:44" x14ac:dyDescent="0.2">
      <c r="O41"/>
      <c r="P41"/>
      <c r="Q41"/>
      <c r="R41"/>
      <c r="S41"/>
      <c r="T41"/>
    </row>
    <row r="42" spans="1:44" x14ac:dyDescent="0.2">
      <c r="A42" s="372"/>
      <c r="B42" s="435"/>
      <c r="C42" s="435"/>
      <c r="D42" s="435"/>
      <c r="E42" s="435"/>
      <c r="F42" s="435"/>
      <c r="G42" s="435"/>
      <c r="H42" s="435"/>
      <c r="I42" s="435"/>
      <c r="J42" s="435"/>
      <c r="K42" s="436"/>
      <c r="L42" s="436"/>
      <c r="M42" s="436"/>
      <c r="N42" s="436"/>
      <c r="O42" s="435"/>
      <c r="P42" s="435"/>
      <c r="Q42" s="372"/>
      <c r="R42" s="372"/>
      <c r="S42" s="372"/>
      <c r="T42" s="372"/>
      <c r="U42" s="435"/>
      <c r="V42" s="435"/>
      <c r="W42" s="373"/>
      <c r="X42" s="435"/>
      <c r="Y42" s="435"/>
      <c r="Z42" s="435"/>
      <c r="AA42" s="435"/>
      <c r="AB42" s="435"/>
      <c r="AC42" s="435"/>
      <c r="AD42" s="435"/>
      <c r="AE42" s="435"/>
      <c r="AF42" s="435"/>
      <c r="AG42" s="435"/>
      <c r="AH42" s="435"/>
      <c r="AI42" s="435"/>
      <c r="AJ42" s="435"/>
      <c r="AK42" s="435"/>
      <c r="AL42" s="435"/>
      <c r="AM42" s="435"/>
      <c r="AN42" s="435"/>
      <c r="AO42" s="435"/>
      <c r="AP42" s="435"/>
      <c r="AQ42" s="435"/>
      <c r="AR42" s="435"/>
    </row>
    <row r="43" spans="1:44" x14ac:dyDescent="0.2">
      <c r="A43" s="371"/>
      <c r="B43" s="437"/>
      <c r="C43" s="437"/>
      <c r="D43" s="437"/>
      <c r="E43" s="437"/>
      <c r="F43" s="437"/>
      <c r="G43" s="437"/>
      <c r="H43" s="437"/>
      <c r="I43" s="437"/>
      <c r="J43" s="437"/>
      <c r="K43" s="438"/>
      <c r="L43" s="438"/>
      <c r="M43" s="438"/>
      <c r="N43" s="438"/>
      <c r="O43" s="437"/>
      <c r="P43" s="437"/>
      <c r="Q43" s="371"/>
      <c r="R43" s="371"/>
      <c r="S43" s="371"/>
      <c r="T43" s="371"/>
      <c r="U43" s="437"/>
      <c r="V43" s="437"/>
      <c r="W43" s="375"/>
      <c r="X43" s="437"/>
      <c r="Y43" s="437"/>
      <c r="Z43" s="437"/>
      <c r="AA43" s="437"/>
      <c r="AB43" s="437"/>
      <c r="AC43" s="437"/>
      <c r="AD43" s="437"/>
      <c r="AE43" s="437"/>
      <c r="AF43" s="437"/>
      <c r="AG43" s="437"/>
      <c r="AH43" s="437"/>
      <c r="AI43" s="437"/>
      <c r="AJ43" s="437"/>
      <c r="AK43" s="437"/>
      <c r="AL43" s="437"/>
      <c r="AM43" s="437"/>
      <c r="AN43" s="437"/>
      <c r="AO43" s="437"/>
      <c r="AP43" s="437"/>
      <c r="AQ43" s="437"/>
      <c r="AR43" s="437"/>
    </row>
    <row r="44" spans="1:44" x14ac:dyDescent="0.2">
      <c r="A44" s="372"/>
      <c r="B44" s="435"/>
      <c r="C44" s="435"/>
      <c r="D44" s="435"/>
      <c r="E44" s="435"/>
      <c r="F44" s="435"/>
      <c r="G44" s="435"/>
      <c r="H44" s="435"/>
      <c r="I44" s="435"/>
      <c r="J44" s="435"/>
      <c r="K44" s="436"/>
      <c r="L44" s="436"/>
      <c r="M44" s="436"/>
      <c r="N44" s="436"/>
      <c r="O44" s="435"/>
      <c r="P44" s="435"/>
      <c r="Q44" s="372"/>
      <c r="R44" s="372"/>
      <c r="S44" s="372"/>
      <c r="T44" s="372"/>
      <c r="U44" s="435"/>
      <c r="V44" s="435"/>
      <c r="W44" s="373"/>
      <c r="X44" s="435"/>
      <c r="Y44" s="435"/>
      <c r="Z44" s="435"/>
      <c r="AA44" s="435"/>
      <c r="AB44" s="435"/>
      <c r="AC44" s="435"/>
      <c r="AD44" s="435"/>
      <c r="AE44" s="435"/>
      <c r="AF44" s="435"/>
      <c r="AG44" s="435"/>
      <c r="AH44" s="435"/>
      <c r="AI44" s="435"/>
      <c r="AJ44" s="435"/>
      <c r="AK44" s="435"/>
      <c r="AL44" s="435"/>
      <c r="AM44" s="435"/>
      <c r="AN44" s="435"/>
      <c r="AO44" s="435"/>
      <c r="AP44" s="435"/>
      <c r="AQ44" s="435"/>
      <c r="AR44" s="435"/>
    </row>
    <row r="45" spans="1:44" ht="36" customHeight="1" x14ac:dyDescent="0.35">
      <c r="O45"/>
      <c r="P45"/>
      <c r="Q45"/>
      <c r="R45"/>
      <c r="S45"/>
      <c r="T45"/>
      <c r="AB45" s="396"/>
      <c r="AC45" s="397"/>
      <c r="AD45" s="417"/>
      <c r="AE45" s="397"/>
      <c r="AF45" s="397"/>
      <c r="AG45" s="396"/>
      <c r="AH45" s="397"/>
      <c r="AI45" s="397"/>
      <c r="AJ45" s="374"/>
      <c r="AK45" s="396"/>
      <c r="AL45" s="397"/>
      <c r="AM45" s="397"/>
      <c r="AN45" s="374"/>
    </row>
    <row r="46" spans="1:44" x14ac:dyDescent="0.2">
      <c r="O46"/>
      <c r="P46"/>
      <c r="Q46"/>
      <c r="R46"/>
      <c r="S46"/>
      <c r="T46"/>
    </row>
    <row r="47" spans="1:44" x14ac:dyDescent="0.2">
      <c r="O47"/>
      <c r="P47"/>
      <c r="Q47"/>
      <c r="R47"/>
      <c r="S47"/>
      <c r="T47"/>
    </row>
    <row r="48" spans="1:44" x14ac:dyDescent="0.2">
      <c r="O48"/>
      <c r="P48"/>
      <c r="Q48"/>
      <c r="R48"/>
      <c r="S48"/>
      <c r="T48"/>
    </row>
    <row r="49" spans="15:20" x14ac:dyDescent="0.2">
      <c r="O49"/>
      <c r="P49"/>
      <c r="Q49"/>
      <c r="R49"/>
      <c r="S49"/>
      <c r="T49"/>
    </row>
    <row r="50" spans="15:20" x14ac:dyDescent="0.2">
      <c r="O50"/>
      <c r="P50"/>
      <c r="Q50"/>
      <c r="R50"/>
      <c r="S50"/>
      <c r="T50"/>
    </row>
    <row r="51" spans="15:20" x14ac:dyDescent="0.2">
      <c r="O51"/>
      <c r="P51"/>
      <c r="Q51"/>
      <c r="R51"/>
      <c r="S51"/>
      <c r="T51"/>
    </row>
    <row r="52" spans="15:20" x14ac:dyDescent="0.2">
      <c r="O52"/>
      <c r="P52"/>
      <c r="Q52"/>
      <c r="R52"/>
      <c r="S52"/>
      <c r="T52"/>
    </row>
    <row r="53" spans="15:20" x14ac:dyDescent="0.2">
      <c r="O53"/>
      <c r="P53"/>
      <c r="Q53"/>
      <c r="R53"/>
      <c r="S53"/>
      <c r="T53"/>
    </row>
    <row r="54" spans="15:20" x14ac:dyDescent="0.2">
      <c r="O54"/>
      <c r="P54"/>
      <c r="Q54"/>
      <c r="R54"/>
      <c r="S54"/>
      <c r="T54"/>
    </row>
    <row r="55" spans="15:20" x14ac:dyDescent="0.2">
      <c r="O55"/>
      <c r="P55"/>
      <c r="Q55"/>
      <c r="R55"/>
      <c r="S55"/>
      <c r="T55"/>
    </row>
    <row r="56" spans="15:20" x14ac:dyDescent="0.2">
      <c r="O56"/>
      <c r="P56"/>
      <c r="Q56"/>
      <c r="R56"/>
      <c r="S56"/>
      <c r="T56"/>
    </row>
    <row r="57" spans="15:20" x14ac:dyDescent="0.2">
      <c r="O57"/>
      <c r="P57"/>
      <c r="Q57"/>
      <c r="R57"/>
      <c r="S57"/>
      <c r="T57"/>
    </row>
    <row r="58" spans="15:20" x14ac:dyDescent="0.2">
      <c r="O58"/>
      <c r="P58"/>
      <c r="Q58"/>
      <c r="R58"/>
      <c r="S58"/>
      <c r="T58"/>
    </row>
    <row r="59" spans="15:20" x14ac:dyDescent="0.2">
      <c r="O59"/>
      <c r="P59"/>
      <c r="Q59"/>
      <c r="R59"/>
      <c r="S59"/>
      <c r="T59"/>
    </row>
    <row r="60" spans="15:20" x14ac:dyDescent="0.2">
      <c r="O60"/>
      <c r="P60"/>
      <c r="Q60"/>
      <c r="R60"/>
      <c r="S60"/>
      <c r="T60"/>
    </row>
    <row r="61" spans="15:20" x14ac:dyDescent="0.2">
      <c r="O61"/>
      <c r="P61"/>
      <c r="Q61"/>
      <c r="R61"/>
      <c r="S61"/>
      <c r="T61"/>
    </row>
    <row r="62" spans="15:20" x14ac:dyDescent="0.2">
      <c r="O62"/>
      <c r="P62"/>
      <c r="Q62"/>
      <c r="R62"/>
      <c r="S62"/>
      <c r="T62"/>
    </row>
    <row r="63" spans="15:20" x14ac:dyDescent="0.2">
      <c r="O63"/>
      <c r="P63"/>
      <c r="Q63"/>
      <c r="R63"/>
      <c r="S63"/>
      <c r="T63"/>
    </row>
    <row r="64" spans="15:20" x14ac:dyDescent="0.2">
      <c r="O64"/>
      <c r="P64"/>
      <c r="Q64"/>
      <c r="R64"/>
      <c r="S64"/>
      <c r="T64"/>
    </row>
    <row r="65" spans="15:20" x14ac:dyDescent="0.2">
      <c r="O65"/>
      <c r="P65"/>
      <c r="Q65"/>
      <c r="R65"/>
      <c r="S65"/>
      <c r="T65"/>
    </row>
    <row r="66" spans="15:20" x14ac:dyDescent="0.2">
      <c r="O66"/>
      <c r="P66"/>
      <c r="Q66"/>
      <c r="R66"/>
      <c r="S66"/>
      <c r="T66"/>
    </row>
    <row r="67" spans="15:20" x14ac:dyDescent="0.2">
      <c r="O67"/>
      <c r="P67"/>
      <c r="Q67"/>
      <c r="R67"/>
      <c r="S67"/>
      <c r="T67"/>
    </row>
    <row r="68" spans="15:20" x14ac:dyDescent="0.2">
      <c r="O68"/>
      <c r="P68"/>
      <c r="Q68"/>
      <c r="R68"/>
      <c r="S68"/>
      <c r="T68"/>
    </row>
    <row r="69" spans="15:20" x14ac:dyDescent="0.2">
      <c r="O69"/>
      <c r="P69"/>
      <c r="Q69"/>
      <c r="R69"/>
      <c r="S69"/>
      <c r="T69"/>
    </row>
    <row r="70" spans="15:20" x14ac:dyDescent="0.2">
      <c r="O70"/>
      <c r="P70"/>
      <c r="Q70"/>
      <c r="R70"/>
      <c r="S70"/>
      <c r="T70"/>
    </row>
    <row r="71" spans="15:20" x14ac:dyDescent="0.2">
      <c r="O71"/>
      <c r="P71"/>
      <c r="Q71"/>
      <c r="R71"/>
      <c r="S71"/>
      <c r="T71"/>
    </row>
    <row r="72" spans="15:20" x14ac:dyDescent="0.2">
      <c r="O72"/>
      <c r="P72"/>
      <c r="Q72"/>
      <c r="R72"/>
      <c r="S72"/>
      <c r="T72"/>
    </row>
    <row r="73" spans="15:20" x14ac:dyDescent="0.2">
      <c r="O73"/>
      <c r="P73"/>
      <c r="Q73"/>
      <c r="R73"/>
      <c r="S73"/>
      <c r="T73"/>
    </row>
    <row r="74" spans="15:20" x14ac:dyDescent="0.2">
      <c r="O74"/>
      <c r="P74"/>
      <c r="Q74"/>
      <c r="R74"/>
      <c r="S74"/>
      <c r="T74"/>
    </row>
    <row r="75" spans="15:20" x14ac:dyDescent="0.2">
      <c r="O75"/>
      <c r="P75"/>
      <c r="Q75"/>
      <c r="R75"/>
      <c r="S75"/>
      <c r="T75"/>
    </row>
    <row r="76" spans="15:20" x14ac:dyDescent="0.2">
      <c r="O76"/>
      <c r="P76"/>
      <c r="Q76"/>
      <c r="R76"/>
      <c r="S76"/>
      <c r="T76"/>
    </row>
    <row r="77" spans="15:20" x14ac:dyDescent="0.2">
      <c r="O77"/>
      <c r="P77"/>
      <c r="Q77"/>
      <c r="R77"/>
      <c r="S77"/>
      <c r="T77"/>
    </row>
    <row r="78" spans="15:20" x14ac:dyDescent="0.2">
      <c r="O78"/>
      <c r="P78"/>
      <c r="Q78"/>
      <c r="R78"/>
      <c r="S78"/>
      <c r="T78"/>
    </row>
    <row r="79" spans="15:20" x14ac:dyDescent="0.2">
      <c r="O79"/>
      <c r="P79"/>
      <c r="Q79"/>
      <c r="R79"/>
      <c r="S79"/>
      <c r="T79"/>
    </row>
    <row r="80" spans="15:20" x14ac:dyDescent="0.2">
      <c r="O80"/>
      <c r="P80"/>
      <c r="Q80"/>
      <c r="R80"/>
      <c r="S80"/>
      <c r="T80"/>
    </row>
    <row r="81" spans="15:20" x14ac:dyDescent="0.2">
      <c r="O81"/>
      <c r="P81"/>
      <c r="Q81"/>
      <c r="R81"/>
      <c r="S81"/>
      <c r="T81"/>
    </row>
    <row r="82" spans="15:20" x14ac:dyDescent="0.2">
      <c r="O82"/>
      <c r="P82"/>
      <c r="Q82"/>
      <c r="R82"/>
      <c r="S82"/>
      <c r="T82"/>
    </row>
    <row r="83" spans="15:20" x14ac:dyDescent="0.2">
      <c r="O83"/>
      <c r="P83"/>
      <c r="Q83"/>
      <c r="R83"/>
      <c r="S83"/>
      <c r="T83"/>
    </row>
    <row r="84" spans="15:20" x14ac:dyDescent="0.2">
      <c r="O84"/>
      <c r="P84"/>
      <c r="Q84"/>
      <c r="R84"/>
      <c r="S84"/>
      <c r="T84"/>
    </row>
    <row r="85" spans="15:20" x14ac:dyDescent="0.2">
      <c r="O85"/>
      <c r="P85"/>
      <c r="Q85"/>
      <c r="R85"/>
      <c r="S85"/>
      <c r="T85"/>
    </row>
    <row r="86" spans="15:20" x14ac:dyDescent="0.2">
      <c r="O86"/>
      <c r="P86"/>
      <c r="Q86"/>
      <c r="R86"/>
      <c r="S86"/>
      <c r="T86"/>
    </row>
    <row r="87" spans="15:20" x14ac:dyDescent="0.2">
      <c r="O87"/>
      <c r="P87"/>
      <c r="Q87"/>
      <c r="R87"/>
      <c r="S87"/>
      <c r="T87"/>
    </row>
    <row r="88" spans="15:20" x14ac:dyDescent="0.2">
      <c r="O88"/>
      <c r="P88"/>
      <c r="Q88"/>
      <c r="R88"/>
      <c r="S88"/>
      <c r="T88"/>
    </row>
    <row r="89" spans="15:20" x14ac:dyDescent="0.2">
      <c r="O89"/>
      <c r="P89"/>
      <c r="Q89"/>
      <c r="R89"/>
      <c r="S89"/>
      <c r="T89"/>
    </row>
    <row r="90" spans="15:20" x14ac:dyDescent="0.2">
      <c r="O90"/>
      <c r="P90"/>
      <c r="Q90"/>
      <c r="R90"/>
      <c r="S90"/>
      <c r="T90"/>
    </row>
    <row r="91" spans="15:20" x14ac:dyDescent="0.2">
      <c r="O91"/>
      <c r="P91"/>
      <c r="Q91"/>
      <c r="R91"/>
      <c r="S91"/>
      <c r="T91"/>
    </row>
    <row r="92" spans="15:20" x14ac:dyDescent="0.2">
      <c r="O92"/>
      <c r="P92"/>
      <c r="Q92"/>
      <c r="R92"/>
      <c r="S92"/>
      <c r="T92"/>
    </row>
    <row r="93" spans="15:20" x14ac:dyDescent="0.2">
      <c r="O93"/>
      <c r="P93"/>
      <c r="Q93"/>
      <c r="R93"/>
      <c r="S93"/>
      <c r="T93"/>
    </row>
    <row r="94" spans="15:20" x14ac:dyDescent="0.2">
      <c r="O94"/>
      <c r="P94"/>
      <c r="Q94"/>
      <c r="R94"/>
      <c r="S94"/>
      <c r="T94"/>
    </row>
    <row r="95" spans="15:20" x14ac:dyDescent="0.2">
      <c r="O95"/>
      <c r="P95"/>
      <c r="Q95"/>
      <c r="R95"/>
      <c r="S95"/>
      <c r="T95"/>
    </row>
    <row r="96" spans="15:20" x14ac:dyDescent="0.2">
      <c r="O96"/>
      <c r="P96"/>
      <c r="Q96"/>
      <c r="R96"/>
      <c r="S96"/>
      <c r="T96"/>
    </row>
    <row r="97" spans="15:20" x14ac:dyDescent="0.2">
      <c r="O97"/>
      <c r="P97"/>
      <c r="Q97"/>
      <c r="R97"/>
      <c r="S97"/>
      <c r="T97"/>
    </row>
    <row r="98" spans="15:20" x14ac:dyDescent="0.2">
      <c r="O98"/>
      <c r="P98"/>
      <c r="Q98"/>
      <c r="R98"/>
      <c r="S98"/>
      <c r="T98"/>
    </row>
    <row r="99" spans="15:20" x14ac:dyDescent="0.2">
      <c r="O99"/>
      <c r="P99"/>
      <c r="Q99"/>
      <c r="R99"/>
      <c r="S99"/>
      <c r="T99"/>
    </row>
    <row r="100" spans="15:20" x14ac:dyDescent="0.2">
      <c r="O100"/>
      <c r="P100"/>
      <c r="Q100"/>
      <c r="R100"/>
      <c r="S100"/>
      <c r="T100"/>
    </row>
    <row r="101" spans="15:20" x14ac:dyDescent="0.2">
      <c r="O101"/>
      <c r="P101"/>
      <c r="Q101"/>
      <c r="R101"/>
      <c r="S101"/>
      <c r="T101"/>
    </row>
    <row r="102" spans="15:20" x14ac:dyDescent="0.2">
      <c r="O102"/>
      <c r="P102"/>
      <c r="Q102"/>
      <c r="R102"/>
      <c r="S102"/>
      <c r="T102"/>
    </row>
    <row r="103" spans="15:20" x14ac:dyDescent="0.2">
      <c r="O103"/>
      <c r="P103"/>
      <c r="Q103"/>
      <c r="R103"/>
      <c r="S103"/>
      <c r="T103"/>
    </row>
    <row r="104" spans="15:20" x14ac:dyDescent="0.2">
      <c r="O104"/>
      <c r="P104"/>
      <c r="Q104"/>
      <c r="R104"/>
      <c r="S104"/>
      <c r="T104"/>
    </row>
    <row r="105" spans="15:20" x14ac:dyDescent="0.2">
      <c r="O105"/>
      <c r="P105"/>
      <c r="Q105"/>
      <c r="R105"/>
      <c r="S105"/>
      <c r="T105"/>
    </row>
    <row r="106" spans="15:20" x14ac:dyDescent="0.2">
      <c r="O106"/>
      <c r="P106"/>
      <c r="Q106"/>
      <c r="R106"/>
      <c r="S106"/>
      <c r="T106"/>
    </row>
    <row r="107" spans="15:20" x14ac:dyDescent="0.2">
      <c r="O107"/>
      <c r="P107"/>
      <c r="Q107"/>
      <c r="R107"/>
      <c r="S107"/>
      <c r="T107"/>
    </row>
    <row r="108" spans="15:20" x14ac:dyDescent="0.2">
      <c r="O108"/>
      <c r="P108"/>
      <c r="Q108"/>
      <c r="R108"/>
      <c r="S108"/>
      <c r="T108"/>
    </row>
    <row r="109" spans="15:20" x14ac:dyDescent="0.2">
      <c r="O109"/>
      <c r="P109"/>
      <c r="Q109"/>
      <c r="R109"/>
      <c r="S109"/>
      <c r="T109"/>
    </row>
    <row r="110" spans="15:20" x14ac:dyDescent="0.2">
      <c r="O110"/>
      <c r="P110"/>
      <c r="Q110"/>
      <c r="R110"/>
      <c r="S110"/>
      <c r="T110"/>
    </row>
    <row r="111" spans="15:20" x14ac:dyDescent="0.2">
      <c r="O111"/>
      <c r="P111"/>
      <c r="Q111"/>
      <c r="R111"/>
      <c r="S111"/>
      <c r="T111"/>
    </row>
    <row r="112" spans="15:20" x14ac:dyDescent="0.2">
      <c r="O112"/>
      <c r="P112"/>
      <c r="Q112"/>
      <c r="R112"/>
      <c r="S112"/>
      <c r="T112"/>
    </row>
    <row r="113" spans="15:20" x14ac:dyDescent="0.2">
      <c r="O113"/>
      <c r="P113"/>
      <c r="Q113"/>
      <c r="R113"/>
      <c r="S113"/>
      <c r="T113"/>
    </row>
    <row r="114" spans="15:20" x14ac:dyDescent="0.2">
      <c r="O114"/>
      <c r="P114"/>
      <c r="Q114"/>
      <c r="R114"/>
      <c r="S114"/>
      <c r="T114"/>
    </row>
    <row r="115" spans="15:20" x14ac:dyDescent="0.2">
      <c r="O115"/>
      <c r="P115"/>
      <c r="Q115"/>
      <c r="R115"/>
      <c r="S115"/>
      <c r="T115"/>
    </row>
    <row r="116" spans="15:20" x14ac:dyDescent="0.2">
      <c r="O116"/>
      <c r="P116"/>
      <c r="Q116"/>
      <c r="R116"/>
      <c r="S116"/>
      <c r="T116"/>
    </row>
    <row r="117" spans="15:20" x14ac:dyDescent="0.2">
      <c r="O117"/>
      <c r="P117"/>
      <c r="Q117"/>
      <c r="R117"/>
      <c r="S117"/>
      <c r="T117"/>
    </row>
    <row r="118" spans="15:20" x14ac:dyDescent="0.2">
      <c r="O118"/>
      <c r="P118"/>
      <c r="Q118"/>
      <c r="R118"/>
      <c r="S118"/>
      <c r="T118"/>
    </row>
    <row r="119" spans="15:20" x14ac:dyDescent="0.2">
      <c r="O119"/>
      <c r="P119"/>
      <c r="Q119"/>
      <c r="R119"/>
      <c r="S119"/>
      <c r="T119"/>
    </row>
    <row r="120" spans="15:20" x14ac:dyDescent="0.2">
      <c r="O120"/>
      <c r="P120"/>
      <c r="Q120"/>
      <c r="R120"/>
      <c r="S120"/>
      <c r="T120"/>
    </row>
    <row r="121" spans="15:20" x14ac:dyDescent="0.2">
      <c r="O121"/>
      <c r="P121"/>
      <c r="Q121"/>
      <c r="R121"/>
      <c r="S121"/>
      <c r="T121"/>
    </row>
    <row r="122" spans="15:20" x14ac:dyDescent="0.2">
      <c r="O122"/>
      <c r="P122"/>
      <c r="Q122"/>
      <c r="R122"/>
      <c r="S122"/>
      <c r="T122"/>
    </row>
    <row r="123" spans="15:20" x14ac:dyDescent="0.2">
      <c r="O123"/>
      <c r="P123"/>
      <c r="Q123"/>
      <c r="R123"/>
      <c r="S123"/>
      <c r="T123"/>
    </row>
    <row r="124" spans="15:20" x14ac:dyDescent="0.2">
      <c r="O124"/>
      <c r="P124"/>
      <c r="Q124"/>
      <c r="R124"/>
      <c r="S124"/>
      <c r="T124"/>
    </row>
    <row r="125" spans="15:20" x14ac:dyDescent="0.2">
      <c r="O125"/>
      <c r="P125"/>
      <c r="Q125"/>
      <c r="R125"/>
      <c r="S125"/>
      <c r="T125"/>
    </row>
    <row r="126" spans="15:20" x14ac:dyDescent="0.2">
      <c r="O126"/>
      <c r="P126"/>
      <c r="Q126"/>
      <c r="R126"/>
      <c r="S126"/>
      <c r="T126"/>
    </row>
    <row r="127" spans="15:20" x14ac:dyDescent="0.2">
      <c r="O127"/>
      <c r="P127"/>
      <c r="Q127"/>
      <c r="R127"/>
      <c r="S127"/>
      <c r="T127"/>
    </row>
    <row r="128" spans="15:20" x14ac:dyDescent="0.2">
      <c r="O128"/>
      <c r="P128"/>
      <c r="Q128"/>
      <c r="R128"/>
      <c r="S128"/>
      <c r="T128"/>
    </row>
    <row r="129" spans="15:20" x14ac:dyDescent="0.2">
      <c r="O129"/>
      <c r="P129"/>
      <c r="Q129"/>
      <c r="R129"/>
      <c r="S129"/>
      <c r="T129"/>
    </row>
    <row r="130" spans="15:20" x14ac:dyDescent="0.2">
      <c r="O130"/>
      <c r="P130"/>
      <c r="Q130"/>
      <c r="R130"/>
      <c r="S130"/>
      <c r="T130"/>
    </row>
    <row r="131" spans="15:20" x14ac:dyDescent="0.2">
      <c r="O131"/>
      <c r="P131"/>
      <c r="Q131"/>
      <c r="R131"/>
      <c r="S131"/>
      <c r="T131"/>
    </row>
    <row r="132" spans="15:20" x14ac:dyDescent="0.2">
      <c r="O132"/>
      <c r="P132"/>
      <c r="Q132"/>
      <c r="R132"/>
      <c r="S132"/>
      <c r="T132"/>
    </row>
    <row r="133" spans="15:20" x14ac:dyDescent="0.2">
      <c r="O133"/>
      <c r="P133"/>
      <c r="Q133"/>
      <c r="R133"/>
      <c r="S133"/>
      <c r="T133"/>
    </row>
    <row r="134" spans="15:20" x14ac:dyDescent="0.2">
      <c r="O134"/>
      <c r="P134"/>
      <c r="Q134"/>
      <c r="R134"/>
      <c r="S134"/>
      <c r="T134"/>
    </row>
    <row r="135" spans="15:20" x14ac:dyDescent="0.2">
      <c r="O135"/>
      <c r="P135"/>
      <c r="Q135"/>
      <c r="R135"/>
      <c r="S135"/>
      <c r="T135"/>
    </row>
    <row r="136" spans="15:20" x14ac:dyDescent="0.2">
      <c r="O136"/>
      <c r="P136"/>
      <c r="Q136"/>
      <c r="R136"/>
      <c r="S136"/>
      <c r="T136"/>
    </row>
    <row r="137" spans="15:20" x14ac:dyDescent="0.2">
      <c r="O137"/>
      <c r="P137"/>
      <c r="Q137"/>
      <c r="R137"/>
      <c r="S137"/>
      <c r="T137"/>
    </row>
    <row r="138" spans="15:20" x14ac:dyDescent="0.2">
      <c r="O138"/>
      <c r="P138"/>
      <c r="Q138"/>
      <c r="R138"/>
      <c r="S138"/>
      <c r="T138"/>
    </row>
    <row r="139" spans="15:20" x14ac:dyDescent="0.2">
      <c r="O139"/>
      <c r="P139"/>
      <c r="Q139"/>
      <c r="R139"/>
      <c r="S139"/>
      <c r="T139"/>
    </row>
    <row r="140" spans="15:20" x14ac:dyDescent="0.2">
      <c r="O140"/>
      <c r="P140"/>
      <c r="Q140"/>
      <c r="R140"/>
      <c r="S140"/>
      <c r="T140"/>
    </row>
    <row r="141" spans="15:20" x14ac:dyDescent="0.2">
      <c r="O141"/>
      <c r="P141"/>
      <c r="Q141"/>
      <c r="R141"/>
      <c r="S141"/>
      <c r="T141"/>
    </row>
    <row r="142" spans="15:20" x14ac:dyDescent="0.2">
      <c r="O142"/>
      <c r="P142"/>
      <c r="Q142"/>
      <c r="R142"/>
      <c r="S142"/>
      <c r="T142"/>
    </row>
    <row r="143" spans="15:20" x14ac:dyDescent="0.2">
      <c r="O143"/>
      <c r="P143"/>
      <c r="Q143"/>
      <c r="R143"/>
      <c r="S143"/>
      <c r="T143"/>
    </row>
    <row r="144" spans="15:20" x14ac:dyDescent="0.2">
      <c r="O144"/>
      <c r="P144"/>
      <c r="Q144"/>
      <c r="R144"/>
      <c r="S144"/>
      <c r="T144"/>
    </row>
    <row r="145" spans="15:20" x14ac:dyDescent="0.2">
      <c r="O145"/>
      <c r="P145"/>
      <c r="Q145"/>
      <c r="R145"/>
      <c r="S145"/>
      <c r="T145"/>
    </row>
    <row r="146" spans="15:20" x14ac:dyDescent="0.2">
      <c r="O146"/>
      <c r="P146"/>
      <c r="Q146"/>
      <c r="R146"/>
      <c r="S146"/>
      <c r="T146"/>
    </row>
    <row r="147" spans="15:20" x14ac:dyDescent="0.2">
      <c r="O147"/>
      <c r="P147"/>
      <c r="Q147"/>
      <c r="R147"/>
      <c r="S147"/>
      <c r="T147"/>
    </row>
    <row r="148" spans="15:20" x14ac:dyDescent="0.2">
      <c r="O148"/>
      <c r="P148"/>
      <c r="Q148"/>
      <c r="R148"/>
      <c r="S148"/>
      <c r="T148"/>
    </row>
    <row r="149" spans="15:20" x14ac:dyDescent="0.2">
      <c r="O149"/>
      <c r="P149"/>
      <c r="Q149"/>
      <c r="R149"/>
      <c r="S149"/>
      <c r="T149"/>
    </row>
    <row r="150" spans="15:20" x14ac:dyDescent="0.2">
      <c r="O150"/>
      <c r="P150"/>
      <c r="Q150"/>
      <c r="R150"/>
      <c r="S150"/>
      <c r="T150"/>
    </row>
    <row r="151" spans="15:20" x14ac:dyDescent="0.2">
      <c r="O151"/>
      <c r="P151"/>
      <c r="Q151"/>
      <c r="R151"/>
      <c r="S151"/>
      <c r="T151"/>
    </row>
    <row r="152" spans="15:20" x14ac:dyDescent="0.2">
      <c r="O152"/>
      <c r="P152"/>
      <c r="Q152"/>
      <c r="R152"/>
      <c r="S152"/>
      <c r="T152"/>
    </row>
    <row r="153" spans="15:20" x14ac:dyDescent="0.2">
      <c r="O153"/>
      <c r="P153"/>
      <c r="Q153"/>
      <c r="R153"/>
      <c r="S153"/>
      <c r="T153"/>
    </row>
    <row r="154" spans="15:20" x14ac:dyDescent="0.2">
      <c r="O154"/>
      <c r="P154"/>
      <c r="Q154"/>
      <c r="R154"/>
      <c r="S154"/>
      <c r="T154"/>
    </row>
    <row r="155" spans="15:20" x14ac:dyDescent="0.2">
      <c r="O155"/>
      <c r="P155"/>
      <c r="Q155"/>
      <c r="R155"/>
      <c r="S155"/>
      <c r="T155"/>
    </row>
    <row r="156" spans="15:20" x14ac:dyDescent="0.2">
      <c r="O156"/>
      <c r="P156"/>
      <c r="Q156"/>
      <c r="R156"/>
      <c r="S156"/>
      <c r="T156"/>
    </row>
    <row r="157" spans="15:20" x14ac:dyDescent="0.2">
      <c r="O157"/>
      <c r="P157"/>
      <c r="Q157"/>
      <c r="R157"/>
      <c r="S157"/>
      <c r="T157"/>
    </row>
    <row r="158" spans="15:20" x14ac:dyDescent="0.2">
      <c r="O158"/>
      <c r="P158"/>
      <c r="Q158"/>
      <c r="R158"/>
      <c r="S158"/>
      <c r="T158"/>
    </row>
    <row r="159" spans="15:20" x14ac:dyDescent="0.2">
      <c r="O159"/>
      <c r="P159"/>
      <c r="Q159"/>
      <c r="R159"/>
      <c r="S159"/>
      <c r="T159"/>
    </row>
    <row r="160" spans="15:20" x14ac:dyDescent="0.2">
      <c r="O160"/>
      <c r="P160"/>
      <c r="Q160"/>
      <c r="R160"/>
      <c r="S160"/>
      <c r="T160"/>
    </row>
    <row r="161" spans="15:20" x14ac:dyDescent="0.2">
      <c r="O161"/>
      <c r="P161"/>
      <c r="Q161"/>
      <c r="R161"/>
      <c r="S161"/>
      <c r="T161"/>
    </row>
    <row r="162" spans="15:20" x14ac:dyDescent="0.2">
      <c r="O162"/>
      <c r="P162"/>
      <c r="Q162"/>
      <c r="R162"/>
      <c r="S162"/>
      <c r="T162"/>
    </row>
    <row r="163" spans="15:20" x14ac:dyDescent="0.2">
      <c r="O163"/>
      <c r="P163"/>
      <c r="Q163"/>
      <c r="R163"/>
      <c r="S163"/>
      <c r="T163"/>
    </row>
    <row r="164" spans="15:20" x14ac:dyDescent="0.2">
      <c r="O164"/>
      <c r="P164"/>
      <c r="Q164"/>
      <c r="R164"/>
      <c r="S164"/>
      <c r="T164"/>
    </row>
    <row r="165" spans="15:20" x14ac:dyDescent="0.2">
      <c r="O165"/>
      <c r="P165"/>
      <c r="Q165"/>
      <c r="R165"/>
      <c r="S165"/>
      <c r="T165"/>
    </row>
    <row r="166" spans="15:20" x14ac:dyDescent="0.2">
      <c r="O166"/>
      <c r="P166"/>
      <c r="Q166"/>
      <c r="R166"/>
      <c r="S166"/>
      <c r="T166"/>
    </row>
    <row r="167" spans="15:20" x14ac:dyDescent="0.2">
      <c r="O167"/>
      <c r="P167"/>
      <c r="Q167"/>
      <c r="R167"/>
      <c r="S167"/>
      <c r="T167"/>
    </row>
    <row r="168" spans="15:20" x14ac:dyDescent="0.2">
      <c r="O168"/>
      <c r="P168"/>
      <c r="Q168"/>
      <c r="R168"/>
      <c r="S168"/>
      <c r="T168"/>
    </row>
    <row r="169" spans="15:20" x14ac:dyDescent="0.2">
      <c r="O169"/>
      <c r="P169"/>
      <c r="Q169"/>
      <c r="R169"/>
      <c r="S169"/>
      <c r="T169"/>
    </row>
    <row r="170" spans="15:20" x14ac:dyDescent="0.2">
      <c r="O170"/>
      <c r="P170"/>
      <c r="Q170"/>
      <c r="R170"/>
      <c r="S170"/>
      <c r="T170"/>
    </row>
    <row r="171" spans="15:20" x14ac:dyDescent="0.2">
      <c r="O171"/>
      <c r="P171"/>
      <c r="Q171"/>
      <c r="R171"/>
      <c r="S171"/>
      <c r="T171"/>
    </row>
    <row r="172" spans="15:20" x14ac:dyDescent="0.2">
      <c r="O172"/>
      <c r="P172"/>
      <c r="Q172"/>
      <c r="R172"/>
      <c r="S172"/>
      <c r="T172"/>
    </row>
    <row r="173" spans="15:20" x14ac:dyDescent="0.2">
      <c r="O173"/>
      <c r="P173"/>
      <c r="Q173"/>
      <c r="R173"/>
      <c r="S173"/>
      <c r="T173"/>
    </row>
    <row r="174" spans="15:20" x14ac:dyDescent="0.2">
      <c r="O174"/>
      <c r="P174"/>
      <c r="Q174"/>
      <c r="R174"/>
      <c r="S174"/>
      <c r="T174"/>
    </row>
    <row r="175" spans="15:20" x14ac:dyDescent="0.2">
      <c r="O175"/>
      <c r="P175"/>
      <c r="Q175"/>
      <c r="R175"/>
      <c r="S175"/>
      <c r="T175"/>
    </row>
    <row r="176" spans="15:20" x14ac:dyDescent="0.2">
      <c r="O176"/>
      <c r="P176"/>
      <c r="Q176"/>
      <c r="R176"/>
      <c r="S176"/>
      <c r="T176"/>
    </row>
    <row r="177" spans="15:20" x14ac:dyDescent="0.2">
      <c r="O177"/>
      <c r="P177"/>
      <c r="Q177"/>
      <c r="R177"/>
      <c r="S177"/>
      <c r="T177"/>
    </row>
    <row r="178" spans="15:20" x14ac:dyDescent="0.2">
      <c r="O178"/>
      <c r="P178"/>
      <c r="Q178"/>
      <c r="R178"/>
      <c r="S178"/>
      <c r="T178"/>
    </row>
    <row r="179" spans="15:20" x14ac:dyDescent="0.2">
      <c r="O179"/>
      <c r="P179"/>
      <c r="Q179"/>
      <c r="R179"/>
      <c r="S179"/>
      <c r="T179"/>
    </row>
    <row r="180" spans="15:20" x14ac:dyDescent="0.2">
      <c r="O180"/>
      <c r="P180"/>
      <c r="Q180"/>
      <c r="R180"/>
      <c r="S180"/>
      <c r="T180"/>
    </row>
    <row r="181" spans="15:20" x14ac:dyDescent="0.2">
      <c r="O181"/>
      <c r="P181"/>
      <c r="Q181"/>
      <c r="R181"/>
      <c r="S181"/>
      <c r="T181"/>
    </row>
    <row r="182" spans="15:20" x14ac:dyDescent="0.2">
      <c r="O182"/>
      <c r="P182"/>
      <c r="Q182"/>
      <c r="R182"/>
      <c r="S182"/>
      <c r="T182"/>
    </row>
    <row r="183" spans="15:20" x14ac:dyDescent="0.2">
      <c r="O183"/>
      <c r="P183"/>
      <c r="Q183"/>
      <c r="R183"/>
      <c r="S183"/>
      <c r="T183"/>
    </row>
    <row r="184" spans="15:20" x14ac:dyDescent="0.2">
      <c r="O184"/>
      <c r="P184"/>
      <c r="Q184"/>
      <c r="R184"/>
      <c r="S184"/>
      <c r="T184"/>
    </row>
    <row r="185" spans="15:20" x14ac:dyDescent="0.2">
      <c r="O185"/>
      <c r="P185"/>
      <c r="Q185"/>
      <c r="R185"/>
      <c r="S185"/>
      <c r="T185"/>
    </row>
    <row r="186" spans="15:20" x14ac:dyDescent="0.2">
      <c r="O186"/>
      <c r="P186"/>
      <c r="Q186"/>
      <c r="R186"/>
      <c r="S186"/>
      <c r="T186"/>
    </row>
    <row r="187" spans="15:20" x14ac:dyDescent="0.2">
      <c r="O187"/>
      <c r="P187"/>
      <c r="Q187"/>
      <c r="R187"/>
      <c r="S187"/>
      <c r="T187"/>
    </row>
    <row r="188" spans="15:20" x14ac:dyDescent="0.2">
      <c r="O188"/>
      <c r="P188"/>
      <c r="Q188"/>
      <c r="R188"/>
      <c r="S188"/>
      <c r="T188"/>
    </row>
    <row r="189" spans="15:20" x14ac:dyDescent="0.2">
      <c r="O189"/>
      <c r="P189"/>
      <c r="Q189"/>
      <c r="R189"/>
      <c r="S189"/>
      <c r="T189"/>
    </row>
    <row r="190" spans="15:20" x14ac:dyDescent="0.2">
      <c r="O190"/>
      <c r="P190"/>
      <c r="Q190"/>
      <c r="R190"/>
      <c r="S190"/>
      <c r="T190"/>
    </row>
    <row r="191" spans="15:20" x14ac:dyDescent="0.2">
      <c r="O191"/>
      <c r="P191"/>
      <c r="Q191"/>
      <c r="R191"/>
      <c r="S191"/>
      <c r="T191"/>
    </row>
    <row r="192" spans="15:20" x14ac:dyDescent="0.2">
      <c r="O192"/>
      <c r="P192"/>
      <c r="Q192"/>
      <c r="R192"/>
      <c r="S192"/>
      <c r="T192"/>
    </row>
    <row r="193" spans="15:20" x14ac:dyDescent="0.2">
      <c r="O193"/>
      <c r="P193"/>
      <c r="Q193"/>
      <c r="R193"/>
      <c r="S193"/>
      <c r="T193"/>
    </row>
    <row r="194" spans="15:20" x14ac:dyDescent="0.2">
      <c r="O194"/>
      <c r="P194"/>
      <c r="Q194"/>
      <c r="R194"/>
      <c r="S194"/>
      <c r="T194"/>
    </row>
    <row r="195" spans="15:20" x14ac:dyDescent="0.2">
      <c r="O195"/>
      <c r="P195"/>
      <c r="Q195"/>
      <c r="R195"/>
      <c r="S195"/>
      <c r="T195"/>
    </row>
    <row r="196" spans="15:20" x14ac:dyDescent="0.2">
      <c r="O196"/>
      <c r="P196"/>
      <c r="Q196"/>
      <c r="R196"/>
      <c r="S196"/>
      <c r="T196"/>
    </row>
    <row r="197" spans="15:20" x14ac:dyDescent="0.2">
      <c r="O197"/>
      <c r="P197"/>
      <c r="Q197"/>
      <c r="R197"/>
      <c r="S197"/>
      <c r="T197"/>
    </row>
    <row r="198" spans="15:20" x14ac:dyDescent="0.2">
      <c r="O198"/>
      <c r="P198"/>
      <c r="Q198"/>
      <c r="R198"/>
      <c r="S198"/>
      <c r="T198"/>
    </row>
    <row r="199" spans="15:20" x14ac:dyDescent="0.2">
      <c r="O199"/>
      <c r="P199"/>
      <c r="Q199"/>
      <c r="R199"/>
      <c r="S199"/>
      <c r="T199"/>
    </row>
    <row r="200" spans="15:20" x14ac:dyDescent="0.2">
      <c r="O200"/>
      <c r="P200"/>
      <c r="Q200"/>
      <c r="R200"/>
      <c r="S200"/>
      <c r="T200"/>
    </row>
    <row r="201" spans="15:20" x14ac:dyDescent="0.2">
      <c r="O201"/>
      <c r="P201"/>
      <c r="Q201"/>
      <c r="R201"/>
      <c r="S201"/>
      <c r="T201"/>
    </row>
    <row r="202" spans="15:20" x14ac:dyDescent="0.2">
      <c r="O202"/>
      <c r="P202"/>
      <c r="Q202"/>
      <c r="R202"/>
      <c r="S202"/>
      <c r="T202"/>
    </row>
    <row r="203" spans="15:20" x14ac:dyDescent="0.2">
      <c r="O203"/>
      <c r="P203"/>
      <c r="Q203"/>
      <c r="R203"/>
      <c r="S203"/>
      <c r="T203"/>
    </row>
    <row r="204" spans="15:20" x14ac:dyDescent="0.2">
      <c r="O204"/>
      <c r="P204"/>
      <c r="Q204"/>
      <c r="R204"/>
      <c r="S204"/>
      <c r="T204"/>
    </row>
    <row r="205" spans="15:20" x14ac:dyDescent="0.2">
      <c r="O205"/>
      <c r="P205"/>
      <c r="Q205"/>
      <c r="R205"/>
      <c r="S205"/>
      <c r="T205"/>
    </row>
    <row r="206" spans="15:20" x14ac:dyDescent="0.2">
      <c r="O206"/>
      <c r="P206"/>
      <c r="Q206"/>
      <c r="R206"/>
      <c r="S206"/>
      <c r="T206"/>
    </row>
    <row r="207" spans="15:20" x14ac:dyDescent="0.2">
      <c r="O207"/>
      <c r="P207"/>
      <c r="Q207"/>
      <c r="R207"/>
      <c r="S207"/>
      <c r="T207"/>
    </row>
    <row r="208" spans="15:20" x14ac:dyDescent="0.2">
      <c r="O208"/>
      <c r="P208"/>
      <c r="Q208"/>
      <c r="R208"/>
      <c r="S208"/>
      <c r="T208"/>
    </row>
    <row r="209" spans="15:20" x14ac:dyDescent="0.2">
      <c r="O209"/>
      <c r="P209"/>
      <c r="Q209"/>
      <c r="R209"/>
      <c r="S209"/>
      <c r="T209"/>
    </row>
    <row r="210" spans="15:20" x14ac:dyDescent="0.2">
      <c r="O210"/>
      <c r="P210"/>
      <c r="Q210"/>
      <c r="R210"/>
      <c r="S210"/>
      <c r="T210"/>
    </row>
    <row r="211" spans="15:20" x14ac:dyDescent="0.2">
      <c r="O211"/>
      <c r="P211"/>
      <c r="Q211"/>
      <c r="R211"/>
      <c r="S211"/>
      <c r="T211"/>
    </row>
    <row r="212" spans="15:20" x14ac:dyDescent="0.2">
      <c r="O212"/>
      <c r="P212"/>
      <c r="Q212"/>
      <c r="R212"/>
      <c r="S212"/>
      <c r="T212"/>
    </row>
    <row r="213" spans="15:20" x14ac:dyDescent="0.2">
      <c r="O213"/>
      <c r="P213"/>
      <c r="Q213"/>
      <c r="R213"/>
      <c r="S213"/>
      <c r="T213"/>
    </row>
    <row r="214" spans="15:20" x14ac:dyDescent="0.2">
      <c r="O214"/>
      <c r="P214"/>
      <c r="Q214"/>
      <c r="R214"/>
      <c r="S214"/>
      <c r="T214"/>
    </row>
    <row r="215" spans="15:20" x14ac:dyDescent="0.2">
      <c r="O215"/>
      <c r="P215"/>
      <c r="Q215"/>
      <c r="R215"/>
      <c r="S215"/>
      <c r="T215"/>
    </row>
    <row r="216" spans="15:20" x14ac:dyDescent="0.2">
      <c r="O216"/>
      <c r="P216"/>
      <c r="Q216"/>
      <c r="R216"/>
      <c r="S216"/>
      <c r="T216"/>
    </row>
    <row r="217" spans="15:20" x14ac:dyDescent="0.2">
      <c r="O217"/>
      <c r="P217"/>
      <c r="Q217"/>
      <c r="R217"/>
      <c r="S217"/>
      <c r="T217"/>
    </row>
    <row r="218" spans="15:20" x14ac:dyDescent="0.2">
      <c r="O218"/>
      <c r="P218"/>
      <c r="Q218"/>
      <c r="R218"/>
      <c r="S218"/>
      <c r="T218"/>
    </row>
    <row r="219" spans="15:20" x14ac:dyDescent="0.2">
      <c r="O219"/>
      <c r="P219"/>
      <c r="Q219"/>
      <c r="R219"/>
      <c r="S219"/>
      <c r="T219"/>
    </row>
    <row r="220" spans="15:20" x14ac:dyDescent="0.2">
      <c r="O220"/>
      <c r="P220"/>
      <c r="Q220"/>
      <c r="R220"/>
      <c r="S220"/>
      <c r="T220"/>
    </row>
    <row r="221" spans="15:20" x14ac:dyDescent="0.2">
      <c r="O221"/>
      <c r="P221"/>
      <c r="Q221"/>
      <c r="R221"/>
      <c r="S221"/>
      <c r="T221"/>
    </row>
    <row r="222" spans="15:20" x14ac:dyDescent="0.2">
      <c r="O222"/>
      <c r="P222"/>
      <c r="Q222"/>
      <c r="R222"/>
      <c r="S222"/>
      <c r="T222"/>
    </row>
    <row r="223" spans="15:20" x14ac:dyDescent="0.2">
      <c r="O223"/>
      <c r="P223"/>
      <c r="Q223"/>
      <c r="R223"/>
      <c r="S223"/>
      <c r="T223"/>
    </row>
    <row r="224" spans="15:20" x14ac:dyDescent="0.2">
      <c r="O224"/>
      <c r="P224"/>
      <c r="Q224"/>
      <c r="R224"/>
      <c r="S224"/>
      <c r="T224"/>
    </row>
    <row r="225" spans="15:20" x14ac:dyDescent="0.2">
      <c r="O225"/>
      <c r="P225"/>
      <c r="Q225"/>
      <c r="R225"/>
      <c r="S225"/>
      <c r="T225"/>
    </row>
    <row r="226" spans="15:20" x14ac:dyDescent="0.2">
      <c r="O226"/>
      <c r="P226"/>
      <c r="Q226"/>
      <c r="R226"/>
      <c r="S226"/>
      <c r="T226"/>
    </row>
    <row r="227" spans="15:20" x14ac:dyDescent="0.2">
      <c r="O227"/>
      <c r="P227"/>
      <c r="Q227"/>
      <c r="R227"/>
      <c r="S227"/>
      <c r="T227"/>
    </row>
    <row r="228" spans="15:20" x14ac:dyDescent="0.2">
      <c r="O228"/>
      <c r="P228"/>
      <c r="Q228"/>
      <c r="R228"/>
      <c r="S228"/>
      <c r="T228"/>
    </row>
    <row r="229" spans="15:20" x14ac:dyDescent="0.2">
      <c r="O229"/>
      <c r="P229"/>
      <c r="Q229"/>
      <c r="R229"/>
      <c r="S229"/>
      <c r="T229"/>
    </row>
    <row r="230" spans="15:20" x14ac:dyDescent="0.2">
      <c r="O230"/>
      <c r="P230"/>
      <c r="Q230"/>
      <c r="R230"/>
      <c r="S230"/>
      <c r="T230"/>
    </row>
    <row r="231" spans="15:20" x14ac:dyDescent="0.2">
      <c r="O231"/>
      <c r="P231"/>
      <c r="Q231"/>
      <c r="R231"/>
      <c r="S231"/>
      <c r="T231"/>
    </row>
    <row r="232" spans="15:20" x14ac:dyDescent="0.2">
      <c r="O232"/>
      <c r="P232"/>
      <c r="Q232"/>
      <c r="R232"/>
      <c r="S232"/>
      <c r="T232"/>
    </row>
    <row r="233" spans="15:20" x14ac:dyDescent="0.2">
      <c r="O233"/>
      <c r="P233"/>
      <c r="Q233"/>
      <c r="R233"/>
      <c r="S233"/>
      <c r="T233"/>
    </row>
    <row r="234" spans="15:20" x14ac:dyDescent="0.2">
      <c r="O234"/>
      <c r="P234"/>
      <c r="Q234"/>
      <c r="R234"/>
      <c r="S234"/>
      <c r="T234"/>
    </row>
    <row r="235" spans="15:20" x14ac:dyDescent="0.2">
      <c r="O235"/>
      <c r="P235"/>
      <c r="Q235"/>
      <c r="R235"/>
      <c r="S235"/>
      <c r="T235"/>
    </row>
    <row r="236" spans="15:20" x14ac:dyDescent="0.2">
      <c r="O236"/>
      <c r="P236"/>
      <c r="Q236"/>
      <c r="R236"/>
      <c r="S236"/>
      <c r="T236"/>
    </row>
    <row r="237" spans="15:20" x14ac:dyDescent="0.2">
      <c r="O237"/>
      <c r="P237"/>
      <c r="Q237"/>
      <c r="R237"/>
      <c r="S237"/>
      <c r="T237"/>
    </row>
    <row r="238" spans="15:20" x14ac:dyDescent="0.2">
      <c r="O238"/>
      <c r="P238"/>
      <c r="Q238"/>
      <c r="R238"/>
      <c r="S238"/>
      <c r="T238"/>
    </row>
    <row r="239" spans="15:20" x14ac:dyDescent="0.2">
      <c r="O239"/>
      <c r="P239"/>
      <c r="Q239"/>
      <c r="R239"/>
      <c r="S239"/>
      <c r="T239"/>
    </row>
    <row r="240" spans="15:20" x14ac:dyDescent="0.2">
      <c r="O240"/>
      <c r="P240"/>
      <c r="Q240"/>
      <c r="R240"/>
      <c r="S240"/>
      <c r="T240"/>
    </row>
    <row r="241" spans="15:20" x14ac:dyDescent="0.2">
      <c r="O241"/>
      <c r="P241"/>
      <c r="Q241"/>
      <c r="R241"/>
      <c r="S241"/>
      <c r="T241"/>
    </row>
    <row r="242" spans="15:20" x14ac:dyDescent="0.2">
      <c r="O242"/>
      <c r="P242"/>
      <c r="Q242"/>
      <c r="R242"/>
      <c r="S242"/>
      <c r="T242"/>
    </row>
    <row r="243" spans="15:20" x14ac:dyDescent="0.2">
      <c r="O243"/>
      <c r="P243"/>
      <c r="Q243"/>
      <c r="R243"/>
      <c r="S243"/>
      <c r="T243"/>
    </row>
    <row r="244" spans="15:20" x14ac:dyDescent="0.2">
      <c r="O244"/>
      <c r="P244"/>
      <c r="Q244"/>
      <c r="R244"/>
      <c r="S244"/>
      <c r="T244"/>
    </row>
    <row r="245" spans="15:20" x14ac:dyDescent="0.2">
      <c r="O245"/>
      <c r="P245"/>
      <c r="Q245"/>
      <c r="R245"/>
      <c r="S245"/>
      <c r="T245"/>
    </row>
    <row r="246" spans="15:20" x14ac:dyDescent="0.2">
      <c r="O246"/>
      <c r="P246"/>
      <c r="Q246"/>
      <c r="R246"/>
      <c r="S246"/>
      <c r="T246"/>
    </row>
    <row r="247" spans="15:20" x14ac:dyDescent="0.2">
      <c r="O247"/>
      <c r="P247"/>
      <c r="Q247"/>
      <c r="R247"/>
      <c r="S247"/>
      <c r="T247"/>
    </row>
    <row r="248" spans="15:20" x14ac:dyDescent="0.2">
      <c r="O248"/>
      <c r="P248"/>
      <c r="Q248"/>
      <c r="R248"/>
      <c r="S248"/>
      <c r="T248"/>
    </row>
    <row r="249" spans="15:20" x14ac:dyDescent="0.2">
      <c r="O249"/>
      <c r="P249"/>
      <c r="Q249"/>
      <c r="R249"/>
      <c r="S249"/>
      <c r="T249"/>
    </row>
    <row r="250" spans="15:20" x14ac:dyDescent="0.2">
      <c r="O250"/>
      <c r="P250"/>
      <c r="Q250"/>
      <c r="R250"/>
      <c r="S250"/>
      <c r="T250"/>
    </row>
    <row r="251" spans="15:20" x14ac:dyDescent="0.2">
      <c r="O251"/>
      <c r="P251"/>
      <c r="Q251"/>
      <c r="R251"/>
      <c r="S251"/>
      <c r="T251"/>
    </row>
    <row r="252" spans="15:20" x14ac:dyDescent="0.2">
      <c r="O252"/>
      <c r="P252"/>
      <c r="Q252"/>
      <c r="R252"/>
      <c r="S252"/>
      <c r="T252"/>
    </row>
    <row r="253" spans="15:20" x14ac:dyDescent="0.2">
      <c r="O253"/>
      <c r="P253"/>
      <c r="Q253"/>
      <c r="R253"/>
      <c r="S253"/>
      <c r="T253"/>
    </row>
    <row r="254" spans="15:20" x14ac:dyDescent="0.2">
      <c r="O254"/>
      <c r="P254"/>
      <c r="Q254"/>
      <c r="R254"/>
      <c r="S254"/>
      <c r="T254"/>
    </row>
    <row r="255" spans="15:20" x14ac:dyDescent="0.2">
      <c r="O255"/>
      <c r="P255"/>
      <c r="Q255"/>
      <c r="R255"/>
      <c r="S255"/>
      <c r="T255"/>
    </row>
    <row r="256" spans="15:20" x14ac:dyDescent="0.2">
      <c r="O256"/>
      <c r="P256"/>
      <c r="Q256"/>
      <c r="R256"/>
      <c r="S256"/>
      <c r="T256"/>
    </row>
    <row r="257" spans="15:20" x14ac:dyDescent="0.2">
      <c r="O257"/>
      <c r="P257"/>
      <c r="Q257"/>
      <c r="R257"/>
      <c r="S257"/>
      <c r="T257"/>
    </row>
    <row r="258" spans="15:20" x14ac:dyDescent="0.2">
      <c r="O258"/>
      <c r="P258"/>
      <c r="Q258"/>
      <c r="R258"/>
      <c r="S258"/>
      <c r="T258"/>
    </row>
    <row r="259" spans="15:20" x14ac:dyDescent="0.2">
      <c r="O259"/>
      <c r="P259"/>
      <c r="Q259"/>
      <c r="R259"/>
      <c r="S259"/>
      <c r="T259"/>
    </row>
    <row r="260" spans="15:20" x14ac:dyDescent="0.2">
      <c r="O260"/>
      <c r="P260"/>
      <c r="Q260"/>
      <c r="R260"/>
      <c r="S260"/>
      <c r="T260"/>
    </row>
    <row r="261" spans="15:20" x14ac:dyDescent="0.2">
      <c r="O261"/>
      <c r="P261"/>
      <c r="Q261"/>
      <c r="R261"/>
      <c r="S261"/>
      <c r="T261"/>
    </row>
    <row r="262" spans="15:20" x14ac:dyDescent="0.2">
      <c r="O262"/>
      <c r="P262"/>
      <c r="Q262"/>
      <c r="R262"/>
      <c r="S262"/>
      <c r="T262"/>
    </row>
    <row r="263" spans="15:20" x14ac:dyDescent="0.2">
      <c r="O263"/>
      <c r="P263"/>
      <c r="Q263"/>
      <c r="R263"/>
      <c r="S263"/>
      <c r="T263"/>
    </row>
    <row r="264" spans="15:20" x14ac:dyDescent="0.2">
      <c r="O264"/>
      <c r="P264"/>
      <c r="Q264"/>
      <c r="R264"/>
      <c r="S264"/>
      <c r="T264"/>
    </row>
    <row r="265" spans="15:20" x14ac:dyDescent="0.2">
      <c r="O265"/>
      <c r="P265"/>
      <c r="Q265"/>
      <c r="R265"/>
      <c r="S265"/>
      <c r="T265"/>
    </row>
    <row r="266" spans="15:20" x14ac:dyDescent="0.2">
      <c r="O266"/>
      <c r="P266"/>
      <c r="Q266"/>
      <c r="R266"/>
      <c r="S266"/>
      <c r="T266"/>
    </row>
    <row r="267" spans="15:20" x14ac:dyDescent="0.2">
      <c r="O267"/>
      <c r="P267"/>
      <c r="Q267"/>
      <c r="R267"/>
      <c r="S267"/>
      <c r="T267"/>
    </row>
    <row r="268" spans="15:20" x14ac:dyDescent="0.2">
      <c r="O268"/>
      <c r="P268"/>
      <c r="Q268"/>
      <c r="R268"/>
      <c r="S268"/>
      <c r="T268"/>
    </row>
    <row r="269" spans="15:20" x14ac:dyDescent="0.2">
      <c r="O269"/>
      <c r="P269"/>
      <c r="Q269"/>
      <c r="R269"/>
      <c r="S269"/>
      <c r="T269"/>
    </row>
    <row r="270" spans="15:20" x14ac:dyDescent="0.2">
      <c r="O270"/>
      <c r="P270"/>
      <c r="Q270"/>
      <c r="R270"/>
      <c r="S270"/>
      <c r="T270"/>
    </row>
    <row r="271" spans="15:20" x14ac:dyDescent="0.2">
      <c r="O271"/>
      <c r="P271"/>
      <c r="Q271"/>
      <c r="R271"/>
      <c r="S271"/>
      <c r="T271"/>
    </row>
    <row r="272" spans="15:20" x14ac:dyDescent="0.2">
      <c r="O272"/>
      <c r="P272"/>
      <c r="Q272"/>
      <c r="R272"/>
      <c r="S272"/>
      <c r="T272"/>
    </row>
    <row r="273" spans="15:20" x14ac:dyDescent="0.2">
      <c r="O273"/>
      <c r="P273"/>
      <c r="Q273"/>
      <c r="R273"/>
      <c r="S273"/>
      <c r="T273"/>
    </row>
    <row r="274" spans="15:20" x14ac:dyDescent="0.2">
      <c r="O274"/>
      <c r="P274"/>
      <c r="Q274"/>
      <c r="R274"/>
      <c r="S274"/>
      <c r="T274"/>
    </row>
    <row r="275" spans="15:20" x14ac:dyDescent="0.2">
      <c r="O275"/>
      <c r="P275"/>
      <c r="Q275"/>
      <c r="R275"/>
      <c r="S275"/>
      <c r="T275"/>
    </row>
    <row r="276" spans="15:20" x14ac:dyDescent="0.2">
      <c r="O276"/>
      <c r="P276"/>
      <c r="Q276"/>
      <c r="R276"/>
      <c r="S276"/>
      <c r="T276"/>
    </row>
    <row r="277" spans="15:20" x14ac:dyDescent="0.2">
      <c r="O277"/>
      <c r="P277"/>
      <c r="Q277"/>
      <c r="R277"/>
      <c r="S277"/>
      <c r="T277"/>
    </row>
    <row r="278" spans="15:20" x14ac:dyDescent="0.2">
      <c r="O278"/>
      <c r="P278"/>
      <c r="Q278"/>
      <c r="R278"/>
      <c r="S278"/>
      <c r="T278"/>
    </row>
    <row r="279" spans="15:20" x14ac:dyDescent="0.2">
      <c r="O279"/>
      <c r="P279"/>
      <c r="Q279"/>
      <c r="R279"/>
      <c r="S279"/>
      <c r="T279"/>
    </row>
    <row r="280" spans="15:20" x14ac:dyDescent="0.2">
      <c r="O280"/>
      <c r="P280"/>
      <c r="Q280"/>
      <c r="R280"/>
      <c r="S280"/>
      <c r="T280"/>
    </row>
    <row r="281" spans="15:20" x14ac:dyDescent="0.2">
      <c r="O281"/>
      <c r="P281"/>
      <c r="Q281"/>
      <c r="R281"/>
      <c r="S281"/>
      <c r="T281"/>
    </row>
    <row r="282" spans="15:20" x14ac:dyDescent="0.2">
      <c r="O282"/>
      <c r="P282"/>
      <c r="Q282"/>
      <c r="R282"/>
      <c r="S282"/>
      <c r="T282"/>
    </row>
    <row r="283" spans="15:20" x14ac:dyDescent="0.2">
      <c r="O283"/>
      <c r="P283"/>
      <c r="Q283"/>
      <c r="R283"/>
      <c r="S283"/>
      <c r="T283"/>
    </row>
    <row r="284" spans="15:20" x14ac:dyDescent="0.2">
      <c r="O284"/>
      <c r="P284"/>
      <c r="Q284"/>
      <c r="R284"/>
      <c r="S284"/>
      <c r="T284"/>
    </row>
    <row r="285" spans="15:20" x14ac:dyDescent="0.2">
      <c r="O285"/>
      <c r="P285"/>
      <c r="Q285"/>
      <c r="R285"/>
      <c r="S285"/>
      <c r="T285"/>
    </row>
    <row r="286" spans="15:20" x14ac:dyDescent="0.2">
      <c r="O286"/>
      <c r="P286"/>
      <c r="Q286"/>
      <c r="R286"/>
      <c r="S286"/>
      <c r="T286"/>
    </row>
    <row r="287" spans="15:20" x14ac:dyDescent="0.2">
      <c r="O287"/>
      <c r="P287"/>
      <c r="Q287"/>
      <c r="R287"/>
      <c r="S287"/>
      <c r="T287"/>
    </row>
    <row r="288" spans="15:20" x14ac:dyDescent="0.2">
      <c r="O288"/>
      <c r="P288"/>
      <c r="Q288"/>
      <c r="R288"/>
      <c r="S288"/>
      <c r="T288"/>
    </row>
    <row r="289" spans="15:20" x14ac:dyDescent="0.2">
      <c r="O289"/>
      <c r="P289"/>
      <c r="Q289"/>
      <c r="R289"/>
      <c r="S289"/>
      <c r="T289"/>
    </row>
    <row r="290" spans="15:20" x14ac:dyDescent="0.2">
      <c r="O290"/>
      <c r="P290"/>
      <c r="Q290"/>
      <c r="R290"/>
      <c r="S290"/>
      <c r="T290"/>
    </row>
    <row r="291" spans="15:20" x14ac:dyDescent="0.2">
      <c r="O291"/>
      <c r="P291"/>
      <c r="Q291"/>
      <c r="R291"/>
      <c r="S291"/>
      <c r="T291"/>
    </row>
    <row r="292" spans="15:20" x14ac:dyDescent="0.2">
      <c r="O292"/>
      <c r="P292"/>
      <c r="Q292"/>
      <c r="R292"/>
      <c r="S292"/>
      <c r="T292"/>
    </row>
    <row r="293" spans="15:20" x14ac:dyDescent="0.2">
      <c r="O293"/>
      <c r="P293"/>
      <c r="Q293"/>
      <c r="R293"/>
      <c r="S293"/>
      <c r="T293"/>
    </row>
    <row r="294" spans="15:20" x14ac:dyDescent="0.2">
      <c r="O294"/>
      <c r="P294"/>
      <c r="Q294"/>
      <c r="R294"/>
      <c r="S294"/>
      <c r="T294"/>
    </row>
    <row r="295" spans="15:20" x14ac:dyDescent="0.2">
      <c r="O295"/>
      <c r="P295"/>
      <c r="Q295"/>
      <c r="R295"/>
      <c r="S295"/>
      <c r="T295"/>
    </row>
    <row r="296" spans="15:20" x14ac:dyDescent="0.2">
      <c r="O296"/>
      <c r="P296"/>
      <c r="Q296"/>
      <c r="R296"/>
      <c r="S296"/>
      <c r="T296"/>
    </row>
    <row r="297" spans="15:20" x14ac:dyDescent="0.2">
      <c r="O297"/>
      <c r="P297"/>
      <c r="Q297"/>
      <c r="R297"/>
      <c r="S297"/>
      <c r="T297"/>
    </row>
    <row r="298" spans="15:20" x14ac:dyDescent="0.2">
      <c r="O298"/>
      <c r="P298"/>
      <c r="Q298"/>
      <c r="R298"/>
      <c r="S298"/>
      <c r="T298"/>
    </row>
    <row r="299" spans="15:20" x14ac:dyDescent="0.2">
      <c r="O299"/>
      <c r="P299"/>
      <c r="Q299"/>
      <c r="R299"/>
      <c r="S299"/>
      <c r="T299"/>
    </row>
    <row r="300" spans="15:20" x14ac:dyDescent="0.2">
      <c r="O300"/>
      <c r="P300"/>
      <c r="Q300"/>
      <c r="R300"/>
      <c r="S300"/>
      <c r="T300"/>
    </row>
    <row r="301" spans="15:20" x14ac:dyDescent="0.2">
      <c r="O301"/>
      <c r="P301"/>
      <c r="Q301"/>
      <c r="R301"/>
      <c r="S301"/>
      <c r="T301"/>
    </row>
    <row r="302" spans="15:20" x14ac:dyDescent="0.2">
      <c r="O302"/>
      <c r="P302"/>
      <c r="Q302"/>
      <c r="R302"/>
      <c r="S302"/>
      <c r="T302"/>
    </row>
    <row r="303" spans="15:20" x14ac:dyDescent="0.2">
      <c r="O303"/>
      <c r="P303"/>
      <c r="Q303"/>
      <c r="R303"/>
      <c r="S303"/>
      <c r="T303"/>
    </row>
    <row r="304" spans="15:20" x14ac:dyDescent="0.2">
      <c r="O304"/>
      <c r="P304"/>
      <c r="Q304"/>
      <c r="R304"/>
      <c r="S304"/>
      <c r="T304"/>
    </row>
    <row r="305" spans="15:20" x14ac:dyDescent="0.2">
      <c r="O305"/>
      <c r="P305"/>
      <c r="Q305"/>
      <c r="R305"/>
      <c r="S305"/>
      <c r="T305"/>
    </row>
    <row r="306" spans="15:20" x14ac:dyDescent="0.2">
      <c r="O306"/>
      <c r="P306"/>
      <c r="Q306"/>
      <c r="R306"/>
      <c r="S306"/>
      <c r="T306"/>
    </row>
    <row r="307" spans="15:20" x14ac:dyDescent="0.2">
      <c r="O307"/>
      <c r="P307"/>
      <c r="Q307"/>
      <c r="R307"/>
      <c r="S307"/>
      <c r="T307"/>
    </row>
    <row r="308" spans="15:20" x14ac:dyDescent="0.2">
      <c r="O308"/>
      <c r="P308"/>
      <c r="Q308"/>
      <c r="R308"/>
      <c r="S308"/>
      <c r="T308"/>
    </row>
    <row r="309" spans="15:20" x14ac:dyDescent="0.2">
      <c r="O309"/>
      <c r="P309"/>
      <c r="Q309"/>
      <c r="R309"/>
      <c r="S309"/>
      <c r="T309"/>
    </row>
    <row r="310" spans="15:20" x14ac:dyDescent="0.2">
      <c r="O310"/>
      <c r="P310"/>
      <c r="Q310"/>
      <c r="R310"/>
      <c r="S310"/>
      <c r="T310"/>
    </row>
    <row r="311" spans="15:20" x14ac:dyDescent="0.2">
      <c r="O311"/>
      <c r="P311"/>
      <c r="Q311"/>
      <c r="R311"/>
      <c r="S311"/>
      <c r="T311"/>
    </row>
    <row r="312" spans="15:20" x14ac:dyDescent="0.2">
      <c r="O312"/>
      <c r="P312"/>
      <c r="Q312"/>
      <c r="R312"/>
      <c r="S312"/>
      <c r="T312"/>
    </row>
    <row r="313" spans="15:20" x14ac:dyDescent="0.2">
      <c r="O313"/>
      <c r="P313"/>
      <c r="Q313"/>
      <c r="R313"/>
      <c r="S313"/>
      <c r="T313"/>
    </row>
    <row r="314" spans="15:20" x14ac:dyDescent="0.2">
      <c r="O314"/>
      <c r="P314"/>
      <c r="Q314"/>
      <c r="R314"/>
      <c r="S314"/>
      <c r="T314"/>
    </row>
    <row r="315" spans="15:20" x14ac:dyDescent="0.2">
      <c r="O315"/>
      <c r="P315"/>
      <c r="Q315"/>
      <c r="R315"/>
      <c r="S315"/>
      <c r="T315"/>
    </row>
    <row r="316" spans="15:20" x14ac:dyDescent="0.2">
      <c r="O316"/>
      <c r="P316"/>
      <c r="Q316"/>
      <c r="R316"/>
      <c r="S316"/>
      <c r="T316"/>
    </row>
    <row r="317" spans="15:20" x14ac:dyDescent="0.2">
      <c r="O317"/>
      <c r="P317"/>
      <c r="Q317"/>
      <c r="R317"/>
      <c r="S317"/>
      <c r="T317"/>
    </row>
    <row r="318" spans="15:20" x14ac:dyDescent="0.2">
      <c r="O318"/>
      <c r="P318"/>
      <c r="Q318"/>
      <c r="R318"/>
      <c r="S318"/>
      <c r="T318"/>
    </row>
    <row r="319" spans="15:20" x14ac:dyDescent="0.2">
      <c r="O319"/>
      <c r="P319"/>
      <c r="Q319"/>
      <c r="R319"/>
      <c r="S319"/>
      <c r="T319"/>
    </row>
    <row r="320" spans="15:20" x14ac:dyDescent="0.2">
      <c r="O320"/>
      <c r="P320"/>
      <c r="Q320"/>
      <c r="R320"/>
      <c r="S320"/>
      <c r="T320"/>
    </row>
    <row r="321" spans="15:20" x14ac:dyDescent="0.2">
      <c r="O321"/>
      <c r="P321"/>
      <c r="Q321"/>
      <c r="R321"/>
      <c r="S321"/>
      <c r="T321"/>
    </row>
    <row r="322" spans="15:20" x14ac:dyDescent="0.2">
      <c r="O322"/>
      <c r="P322"/>
      <c r="Q322"/>
      <c r="R322"/>
      <c r="S322"/>
      <c r="T322"/>
    </row>
    <row r="323" spans="15:20" x14ac:dyDescent="0.2">
      <c r="O323"/>
      <c r="P323"/>
      <c r="Q323"/>
      <c r="R323"/>
      <c r="S323"/>
      <c r="T323"/>
    </row>
    <row r="324" spans="15:20" x14ac:dyDescent="0.2">
      <c r="O324"/>
      <c r="P324"/>
      <c r="Q324"/>
      <c r="R324"/>
      <c r="S324"/>
      <c r="T324"/>
    </row>
    <row r="325" spans="15:20" x14ac:dyDescent="0.2">
      <c r="O325"/>
      <c r="P325"/>
      <c r="Q325"/>
      <c r="R325"/>
      <c r="S325"/>
      <c r="T325"/>
    </row>
    <row r="326" spans="15:20" x14ac:dyDescent="0.2">
      <c r="O326"/>
      <c r="P326"/>
      <c r="Q326"/>
      <c r="R326"/>
      <c r="S326"/>
      <c r="T326"/>
    </row>
    <row r="327" spans="15:20" x14ac:dyDescent="0.2">
      <c r="O327"/>
      <c r="P327"/>
      <c r="Q327"/>
      <c r="R327"/>
      <c r="S327"/>
      <c r="T327"/>
    </row>
    <row r="328" spans="15:20" x14ac:dyDescent="0.2">
      <c r="O328"/>
      <c r="P328"/>
      <c r="Q328"/>
      <c r="R328"/>
      <c r="S328"/>
      <c r="T328"/>
    </row>
    <row r="329" spans="15:20" x14ac:dyDescent="0.2">
      <c r="O329"/>
      <c r="P329"/>
      <c r="Q329"/>
      <c r="R329"/>
      <c r="S329"/>
      <c r="T329"/>
    </row>
    <row r="330" spans="15:20" x14ac:dyDescent="0.2">
      <c r="O330"/>
      <c r="P330"/>
      <c r="Q330"/>
      <c r="R330"/>
      <c r="S330"/>
      <c r="T330"/>
    </row>
    <row r="331" spans="15:20" x14ac:dyDescent="0.2">
      <c r="O331"/>
      <c r="P331"/>
      <c r="Q331"/>
      <c r="R331"/>
      <c r="S331"/>
      <c r="T331"/>
    </row>
    <row r="332" spans="15:20" x14ac:dyDescent="0.2">
      <c r="O332"/>
      <c r="P332"/>
      <c r="Q332"/>
      <c r="R332"/>
      <c r="S332"/>
      <c r="T332"/>
    </row>
    <row r="333" spans="15:20" x14ac:dyDescent="0.2">
      <c r="O333"/>
      <c r="P333"/>
      <c r="Q333"/>
      <c r="R333"/>
      <c r="S333"/>
      <c r="T333"/>
    </row>
    <row r="334" spans="15:20" x14ac:dyDescent="0.2">
      <c r="O334"/>
      <c r="P334"/>
      <c r="Q334"/>
      <c r="R334"/>
      <c r="S334"/>
      <c r="T334"/>
    </row>
    <row r="335" spans="15:20" x14ac:dyDescent="0.2">
      <c r="O335"/>
      <c r="P335"/>
      <c r="Q335"/>
      <c r="R335"/>
      <c r="S335"/>
      <c r="T335"/>
    </row>
    <row r="336" spans="15:20" x14ac:dyDescent="0.2">
      <c r="O336"/>
      <c r="P336"/>
      <c r="Q336"/>
      <c r="R336"/>
      <c r="S336"/>
      <c r="T336"/>
    </row>
    <row r="337" spans="15:20" x14ac:dyDescent="0.2">
      <c r="O337"/>
      <c r="P337"/>
      <c r="Q337"/>
      <c r="R337"/>
      <c r="S337"/>
      <c r="T337"/>
    </row>
    <row r="338" spans="15:20" x14ac:dyDescent="0.2">
      <c r="O338"/>
      <c r="P338"/>
      <c r="Q338"/>
      <c r="R338"/>
      <c r="S338"/>
      <c r="T338"/>
    </row>
    <row r="339" spans="15:20" x14ac:dyDescent="0.2">
      <c r="O339"/>
      <c r="P339"/>
      <c r="Q339"/>
      <c r="R339"/>
      <c r="S339"/>
      <c r="T339"/>
    </row>
    <row r="340" spans="15:20" x14ac:dyDescent="0.2">
      <c r="O340"/>
      <c r="P340"/>
      <c r="Q340"/>
      <c r="R340"/>
      <c r="S340"/>
      <c r="T340"/>
    </row>
    <row r="341" spans="15:20" x14ac:dyDescent="0.2">
      <c r="O341"/>
      <c r="P341"/>
      <c r="Q341"/>
      <c r="R341"/>
      <c r="S341"/>
      <c r="T341"/>
    </row>
    <row r="342" spans="15:20" x14ac:dyDescent="0.2">
      <c r="O342"/>
      <c r="P342"/>
      <c r="Q342"/>
      <c r="R342"/>
      <c r="S342"/>
      <c r="T342"/>
    </row>
    <row r="343" spans="15:20" x14ac:dyDescent="0.2">
      <c r="O343"/>
      <c r="P343"/>
      <c r="Q343"/>
      <c r="R343"/>
      <c r="S343"/>
      <c r="T343"/>
    </row>
    <row r="344" spans="15:20" x14ac:dyDescent="0.2">
      <c r="O344"/>
      <c r="P344"/>
      <c r="Q344"/>
      <c r="R344"/>
      <c r="S344"/>
      <c r="T344"/>
    </row>
    <row r="345" spans="15:20" x14ac:dyDescent="0.2">
      <c r="O345"/>
      <c r="P345"/>
      <c r="Q345"/>
      <c r="R345"/>
      <c r="S345"/>
      <c r="T345"/>
    </row>
    <row r="346" spans="15:20" x14ac:dyDescent="0.2">
      <c r="O346"/>
      <c r="P346"/>
      <c r="Q346"/>
      <c r="R346"/>
      <c r="S346"/>
      <c r="T346"/>
    </row>
    <row r="347" spans="15:20" x14ac:dyDescent="0.2">
      <c r="O347"/>
      <c r="P347"/>
      <c r="Q347"/>
      <c r="R347"/>
      <c r="S347"/>
      <c r="T347"/>
    </row>
    <row r="348" spans="15:20" x14ac:dyDescent="0.2">
      <c r="O348"/>
      <c r="P348"/>
      <c r="Q348"/>
      <c r="R348"/>
      <c r="S348"/>
      <c r="T348"/>
    </row>
    <row r="349" spans="15:20" x14ac:dyDescent="0.2">
      <c r="O349"/>
      <c r="P349"/>
      <c r="Q349"/>
      <c r="R349"/>
      <c r="S349"/>
      <c r="T349"/>
    </row>
    <row r="350" spans="15:20" x14ac:dyDescent="0.2">
      <c r="O350"/>
      <c r="P350"/>
      <c r="Q350"/>
      <c r="R350"/>
      <c r="S350"/>
      <c r="T350"/>
    </row>
    <row r="351" spans="15:20" x14ac:dyDescent="0.2">
      <c r="O351"/>
      <c r="P351"/>
      <c r="Q351"/>
      <c r="R351"/>
      <c r="S351"/>
      <c r="T351"/>
    </row>
    <row r="352" spans="15:20" x14ac:dyDescent="0.2">
      <c r="O352"/>
      <c r="P352"/>
      <c r="Q352"/>
      <c r="R352"/>
      <c r="S352"/>
      <c r="T352"/>
    </row>
    <row r="353" spans="15:20" x14ac:dyDescent="0.2">
      <c r="O353"/>
      <c r="P353"/>
      <c r="Q353"/>
      <c r="R353"/>
      <c r="S353"/>
      <c r="T353"/>
    </row>
    <row r="354" spans="15:20" x14ac:dyDescent="0.2">
      <c r="O354"/>
      <c r="P354"/>
      <c r="Q354"/>
      <c r="R354"/>
      <c r="S354"/>
      <c r="T354"/>
    </row>
    <row r="355" spans="15:20" x14ac:dyDescent="0.2">
      <c r="O355"/>
      <c r="P355"/>
      <c r="Q355"/>
      <c r="R355"/>
      <c r="S355"/>
      <c r="T355"/>
    </row>
    <row r="356" spans="15:20" x14ac:dyDescent="0.2">
      <c r="O356"/>
      <c r="P356"/>
      <c r="Q356"/>
      <c r="R356"/>
      <c r="S356"/>
      <c r="T356"/>
    </row>
    <row r="357" spans="15:20" x14ac:dyDescent="0.2">
      <c r="O357"/>
      <c r="P357"/>
      <c r="Q357"/>
      <c r="R357"/>
      <c r="S357"/>
      <c r="T357"/>
    </row>
    <row r="358" spans="15:20" x14ac:dyDescent="0.2">
      <c r="O358"/>
      <c r="P358"/>
      <c r="Q358"/>
      <c r="R358"/>
      <c r="S358"/>
      <c r="T358"/>
    </row>
    <row r="359" spans="15:20" x14ac:dyDescent="0.2">
      <c r="O359"/>
      <c r="P359"/>
      <c r="Q359"/>
      <c r="R359"/>
      <c r="S359"/>
      <c r="T359"/>
    </row>
    <row r="360" spans="15:20" x14ac:dyDescent="0.2">
      <c r="O360"/>
      <c r="P360"/>
      <c r="Q360"/>
      <c r="R360"/>
      <c r="S360"/>
      <c r="T360"/>
    </row>
    <row r="361" spans="15:20" x14ac:dyDescent="0.2">
      <c r="O361"/>
      <c r="P361"/>
      <c r="Q361"/>
      <c r="R361"/>
      <c r="S361"/>
      <c r="T361"/>
    </row>
    <row r="362" spans="15:20" x14ac:dyDescent="0.2">
      <c r="O362"/>
      <c r="P362"/>
      <c r="Q362"/>
      <c r="R362"/>
      <c r="S362"/>
      <c r="T362"/>
    </row>
    <row r="363" spans="15:20" x14ac:dyDescent="0.2">
      <c r="O363"/>
      <c r="P363"/>
      <c r="Q363"/>
      <c r="R363"/>
      <c r="S363"/>
      <c r="T363"/>
    </row>
    <row r="364" spans="15:20" x14ac:dyDescent="0.2">
      <c r="O364"/>
      <c r="P364"/>
      <c r="Q364"/>
      <c r="R364"/>
      <c r="S364"/>
      <c r="T364"/>
    </row>
    <row r="365" spans="15:20" x14ac:dyDescent="0.2">
      <c r="O365"/>
      <c r="P365"/>
      <c r="Q365"/>
      <c r="R365"/>
      <c r="S365"/>
      <c r="T365"/>
    </row>
    <row r="366" spans="15:20" x14ac:dyDescent="0.2">
      <c r="O366"/>
      <c r="P366"/>
      <c r="Q366"/>
      <c r="R366"/>
      <c r="S366"/>
      <c r="T366"/>
    </row>
    <row r="367" spans="15:20" x14ac:dyDescent="0.2">
      <c r="O367"/>
      <c r="P367"/>
      <c r="Q367"/>
      <c r="R367"/>
      <c r="S367"/>
      <c r="T367"/>
    </row>
    <row r="368" spans="15:20" x14ac:dyDescent="0.2">
      <c r="O368"/>
      <c r="P368"/>
      <c r="Q368"/>
      <c r="R368"/>
      <c r="S368"/>
      <c r="T368"/>
    </row>
    <row r="369" spans="15:20" x14ac:dyDescent="0.2">
      <c r="O369"/>
      <c r="P369"/>
      <c r="Q369"/>
      <c r="R369"/>
      <c r="S369"/>
      <c r="T369"/>
    </row>
    <row r="370" spans="15:20" x14ac:dyDescent="0.2">
      <c r="O370"/>
      <c r="P370"/>
      <c r="Q370"/>
      <c r="R370"/>
      <c r="S370"/>
      <c r="T370"/>
    </row>
    <row r="371" spans="15:20" x14ac:dyDescent="0.2">
      <c r="O371"/>
      <c r="P371"/>
      <c r="Q371"/>
      <c r="R371"/>
      <c r="S371"/>
      <c r="T371"/>
    </row>
    <row r="372" spans="15:20" x14ac:dyDescent="0.2">
      <c r="O372"/>
      <c r="P372"/>
      <c r="Q372"/>
      <c r="R372"/>
      <c r="S372"/>
      <c r="T372"/>
    </row>
    <row r="373" spans="15:20" x14ac:dyDescent="0.2">
      <c r="O373"/>
      <c r="P373"/>
      <c r="Q373"/>
      <c r="R373"/>
      <c r="S373"/>
      <c r="T373"/>
    </row>
    <row r="374" spans="15:20" x14ac:dyDescent="0.2">
      <c r="O374"/>
      <c r="P374"/>
      <c r="Q374"/>
      <c r="R374"/>
      <c r="S374"/>
      <c r="T374"/>
    </row>
    <row r="375" spans="15:20" x14ac:dyDescent="0.2">
      <c r="O375"/>
      <c r="P375"/>
      <c r="Q375"/>
      <c r="R375"/>
      <c r="S375"/>
      <c r="T375"/>
    </row>
    <row r="376" spans="15:20" x14ac:dyDescent="0.2">
      <c r="O376"/>
      <c r="P376"/>
      <c r="Q376"/>
      <c r="R376"/>
      <c r="S376"/>
      <c r="T376"/>
    </row>
    <row r="377" spans="15:20" x14ac:dyDescent="0.2">
      <c r="O377"/>
      <c r="P377"/>
      <c r="Q377"/>
      <c r="R377"/>
      <c r="S377"/>
      <c r="T377"/>
    </row>
    <row r="378" spans="15:20" x14ac:dyDescent="0.2">
      <c r="O378"/>
      <c r="P378"/>
      <c r="Q378"/>
      <c r="R378"/>
      <c r="S378"/>
      <c r="T378"/>
    </row>
    <row r="379" spans="15:20" x14ac:dyDescent="0.2">
      <c r="O379"/>
      <c r="P379"/>
      <c r="Q379"/>
      <c r="R379"/>
      <c r="S379"/>
      <c r="T379"/>
    </row>
    <row r="380" spans="15:20" x14ac:dyDescent="0.2">
      <c r="O380"/>
      <c r="P380"/>
      <c r="Q380"/>
      <c r="R380"/>
      <c r="S380"/>
      <c r="T380"/>
    </row>
    <row r="381" spans="15:20" x14ac:dyDescent="0.2">
      <c r="O381"/>
      <c r="P381"/>
      <c r="Q381"/>
      <c r="R381"/>
      <c r="S381"/>
      <c r="T381"/>
    </row>
    <row r="382" spans="15:20" x14ac:dyDescent="0.2">
      <c r="O382"/>
      <c r="P382"/>
      <c r="Q382"/>
      <c r="R382"/>
      <c r="S382"/>
      <c r="T382"/>
    </row>
    <row r="383" spans="15:20" x14ac:dyDescent="0.2">
      <c r="O383"/>
      <c r="P383"/>
      <c r="Q383"/>
      <c r="R383"/>
      <c r="S383"/>
      <c r="T383"/>
    </row>
    <row r="384" spans="15:20" x14ac:dyDescent="0.2">
      <c r="O384"/>
      <c r="P384"/>
      <c r="Q384"/>
      <c r="R384"/>
      <c r="S384"/>
      <c r="T384"/>
    </row>
    <row r="385" spans="15:20" x14ac:dyDescent="0.2">
      <c r="O385"/>
      <c r="P385"/>
      <c r="Q385"/>
      <c r="R385"/>
      <c r="S385"/>
      <c r="T385"/>
    </row>
    <row r="386" spans="15:20" x14ac:dyDescent="0.2">
      <c r="O386"/>
      <c r="P386"/>
      <c r="Q386"/>
      <c r="R386"/>
      <c r="S386"/>
      <c r="T386"/>
    </row>
    <row r="387" spans="15:20" x14ac:dyDescent="0.2">
      <c r="O387"/>
      <c r="P387"/>
      <c r="Q387"/>
      <c r="R387"/>
      <c r="S387"/>
      <c r="T387"/>
    </row>
    <row r="388" spans="15:20" x14ac:dyDescent="0.2">
      <c r="O388"/>
      <c r="P388"/>
      <c r="Q388"/>
      <c r="R388"/>
      <c r="S388"/>
      <c r="T388"/>
    </row>
    <row r="389" spans="15:20" x14ac:dyDescent="0.2">
      <c r="O389"/>
      <c r="P389"/>
      <c r="Q389"/>
      <c r="R389"/>
      <c r="S389"/>
      <c r="T389"/>
    </row>
    <row r="390" spans="15:20" x14ac:dyDescent="0.2">
      <c r="O390"/>
      <c r="P390"/>
      <c r="Q390"/>
      <c r="R390"/>
      <c r="S390"/>
      <c r="T390"/>
    </row>
    <row r="391" spans="15:20" x14ac:dyDescent="0.2">
      <c r="O391"/>
      <c r="P391"/>
      <c r="Q391"/>
      <c r="R391"/>
      <c r="S391"/>
      <c r="T391"/>
    </row>
    <row r="392" spans="15:20" x14ac:dyDescent="0.2">
      <c r="O392"/>
      <c r="P392"/>
      <c r="Q392"/>
      <c r="R392"/>
      <c r="S392"/>
      <c r="T392"/>
    </row>
    <row r="393" spans="15:20" x14ac:dyDescent="0.2">
      <c r="O393"/>
      <c r="P393"/>
      <c r="Q393"/>
      <c r="R393"/>
      <c r="S393"/>
      <c r="T393"/>
    </row>
    <row r="394" spans="15:20" x14ac:dyDescent="0.2">
      <c r="O394"/>
      <c r="P394"/>
      <c r="Q394"/>
      <c r="R394"/>
      <c r="S394"/>
      <c r="T394"/>
    </row>
    <row r="395" spans="15:20" x14ac:dyDescent="0.2">
      <c r="O395"/>
      <c r="P395"/>
      <c r="Q395"/>
      <c r="R395"/>
      <c r="S395"/>
      <c r="T395"/>
    </row>
    <row r="396" spans="15:20" x14ac:dyDescent="0.2">
      <c r="O396"/>
      <c r="P396"/>
      <c r="Q396"/>
      <c r="R396"/>
      <c r="S396"/>
      <c r="T396"/>
    </row>
    <row r="397" spans="15:20" x14ac:dyDescent="0.2">
      <c r="O397"/>
      <c r="P397"/>
      <c r="Q397"/>
      <c r="R397"/>
      <c r="S397"/>
      <c r="T397"/>
    </row>
    <row r="398" spans="15:20" x14ac:dyDescent="0.2">
      <c r="O398"/>
      <c r="P398"/>
      <c r="Q398"/>
      <c r="R398"/>
      <c r="S398"/>
      <c r="T398"/>
    </row>
    <row r="399" spans="15:20" x14ac:dyDescent="0.2">
      <c r="O399"/>
      <c r="P399"/>
      <c r="Q399"/>
      <c r="R399"/>
      <c r="S399"/>
      <c r="T399"/>
    </row>
    <row r="400" spans="15:20" x14ac:dyDescent="0.2">
      <c r="O400"/>
      <c r="P400"/>
      <c r="Q400"/>
      <c r="R400"/>
      <c r="S400"/>
      <c r="T400"/>
    </row>
    <row r="401" spans="15:20" x14ac:dyDescent="0.2">
      <c r="O401"/>
      <c r="P401"/>
      <c r="Q401"/>
      <c r="R401"/>
      <c r="S401"/>
      <c r="T401"/>
    </row>
    <row r="402" spans="15:20" x14ac:dyDescent="0.2">
      <c r="O402"/>
      <c r="P402"/>
      <c r="Q402"/>
      <c r="R402"/>
      <c r="S402"/>
      <c r="T402"/>
    </row>
    <row r="403" spans="15:20" x14ac:dyDescent="0.2">
      <c r="O403"/>
      <c r="P403"/>
      <c r="Q403"/>
      <c r="R403"/>
      <c r="S403"/>
      <c r="T403"/>
    </row>
    <row r="404" spans="15:20" x14ac:dyDescent="0.2">
      <c r="O404"/>
      <c r="P404"/>
      <c r="Q404"/>
      <c r="R404"/>
      <c r="S404"/>
      <c r="T404"/>
    </row>
    <row r="405" spans="15:20" x14ac:dyDescent="0.2">
      <c r="O405"/>
      <c r="P405"/>
      <c r="Q405"/>
      <c r="R405"/>
      <c r="S405"/>
      <c r="T405"/>
    </row>
    <row r="406" spans="15:20" x14ac:dyDescent="0.2">
      <c r="O406"/>
      <c r="P406"/>
      <c r="Q406"/>
      <c r="R406"/>
      <c r="S406"/>
      <c r="T406"/>
    </row>
    <row r="407" spans="15:20" x14ac:dyDescent="0.2">
      <c r="O407"/>
      <c r="P407"/>
      <c r="Q407"/>
      <c r="R407"/>
      <c r="S407"/>
      <c r="T407"/>
    </row>
    <row r="408" spans="15:20" x14ac:dyDescent="0.2">
      <c r="O408"/>
      <c r="P408"/>
      <c r="Q408"/>
      <c r="R408"/>
      <c r="S408"/>
      <c r="T408"/>
    </row>
    <row r="409" spans="15:20" x14ac:dyDescent="0.2">
      <c r="O409"/>
      <c r="P409"/>
      <c r="Q409"/>
      <c r="R409"/>
      <c r="S409"/>
      <c r="T409"/>
    </row>
    <row r="410" spans="15:20" x14ac:dyDescent="0.2">
      <c r="O410"/>
      <c r="P410"/>
      <c r="Q410"/>
      <c r="R410"/>
      <c r="S410"/>
      <c r="T410"/>
    </row>
    <row r="411" spans="15:20" x14ac:dyDescent="0.2">
      <c r="O411"/>
      <c r="P411"/>
      <c r="Q411"/>
      <c r="R411"/>
      <c r="S411"/>
      <c r="T411"/>
    </row>
    <row r="412" spans="15:20" x14ac:dyDescent="0.2">
      <c r="O412"/>
      <c r="P412"/>
      <c r="Q412"/>
      <c r="R412"/>
      <c r="S412"/>
      <c r="T412"/>
    </row>
    <row r="413" spans="15:20" x14ac:dyDescent="0.2">
      <c r="O413"/>
      <c r="P413"/>
      <c r="Q413"/>
      <c r="R413"/>
      <c r="S413"/>
      <c r="T413"/>
    </row>
    <row r="414" spans="15:20" x14ac:dyDescent="0.2">
      <c r="O414"/>
      <c r="P414"/>
      <c r="Q414"/>
      <c r="R414"/>
      <c r="S414"/>
      <c r="T414"/>
    </row>
    <row r="415" spans="15:20" x14ac:dyDescent="0.2">
      <c r="O415"/>
      <c r="P415"/>
      <c r="Q415"/>
      <c r="R415"/>
      <c r="S415"/>
      <c r="T415"/>
    </row>
    <row r="416" spans="15:20" x14ac:dyDescent="0.2">
      <c r="O416"/>
      <c r="P416"/>
      <c r="Q416"/>
      <c r="R416"/>
      <c r="S416"/>
      <c r="T416"/>
    </row>
    <row r="417" spans="15:20" x14ac:dyDescent="0.2">
      <c r="O417"/>
      <c r="P417"/>
      <c r="Q417"/>
      <c r="R417"/>
      <c r="S417"/>
      <c r="T417"/>
    </row>
    <row r="418" spans="15:20" x14ac:dyDescent="0.2">
      <c r="O418"/>
      <c r="P418"/>
      <c r="Q418"/>
      <c r="R418"/>
      <c r="S418"/>
      <c r="T418"/>
    </row>
    <row r="419" spans="15:20" x14ac:dyDescent="0.2">
      <c r="O419"/>
      <c r="P419"/>
      <c r="Q419"/>
      <c r="R419"/>
      <c r="S419"/>
      <c r="T419"/>
    </row>
    <row r="420" spans="15:20" x14ac:dyDescent="0.2">
      <c r="O420"/>
      <c r="P420"/>
      <c r="Q420"/>
      <c r="R420"/>
      <c r="S420"/>
      <c r="T420"/>
    </row>
    <row r="421" spans="15:20" x14ac:dyDescent="0.2">
      <c r="O421"/>
      <c r="P421"/>
      <c r="Q421"/>
      <c r="R421"/>
      <c r="S421"/>
      <c r="T421"/>
    </row>
    <row r="422" spans="15:20" x14ac:dyDescent="0.2">
      <c r="O422"/>
      <c r="P422"/>
      <c r="Q422"/>
      <c r="R422"/>
      <c r="S422"/>
      <c r="T422"/>
    </row>
    <row r="423" spans="15:20" x14ac:dyDescent="0.2">
      <c r="O423"/>
      <c r="P423"/>
      <c r="Q423"/>
      <c r="R423"/>
      <c r="S423"/>
      <c r="T423"/>
    </row>
    <row r="424" spans="15:20" x14ac:dyDescent="0.2">
      <c r="O424"/>
      <c r="P424"/>
      <c r="Q424"/>
      <c r="R424"/>
      <c r="S424"/>
      <c r="T424"/>
    </row>
    <row r="425" spans="15:20" x14ac:dyDescent="0.2">
      <c r="O425"/>
      <c r="P425"/>
      <c r="Q425"/>
      <c r="R425"/>
      <c r="S425"/>
      <c r="T425"/>
    </row>
    <row r="426" spans="15:20" x14ac:dyDescent="0.2">
      <c r="O426"/>
      <c r="P426"/>
      <c r="Q426"/>
      <c r="R426"/>
      <c r="S426"/>
      <c r="T426"/>
    </row>
    <row r="427" spans="15:20" x14ac:dyDescent="0.2">
      <c r="O427"/>
      <c r="P427"/>
      <c r="Q427"/>
      <c r="R427"/>
      <c r="S427"/>
      <c r="T427"/>
    </row>
    <row r="428" spans="15:20" x14ac:dyDescent="0.2">
      <c r="O428"/>
      <c r="P428"/>
      <c r="Q428"/>
      <c r="R428"/>
      <c r="S428"/>
      <c r="T428"/>
    </row>
    <row r="429" spans="15:20" x14ac:dyDescent="0.2">
      <c r="O429"/>
      <c r="P429"/>
      <c r="Q429"/>
      <c r="R429"/>
      <c r="S429"/>
      <c r="T429"/>
    </row>
    <row r="430" spans="15:20" x14ac:dyDescent="0.2">
      <c r="O430"/>
      <c r="P430"/>
      <c r="Q430"/>
      <c r="R430"/>
      <c r="S430"/>
      <c r="T430"/>
    </row>
    <row r="431" spans="15:20" x14ac:dyDescent="0.2">
      <c r="O431"/>
      <c r="P431"/>
      <c r="Q431"/>
      <c r="R431"/>
      <c r="S431"/>
      <c r="T431"/>
    </row>
    <row r="432" spans="15:20" x14ac:dyDescent="0.2">
      <c r="O432"/>
      <c r="P432"/>
      <c r="Q432"/>
      <c r="R432"/>
      <c r="S432"/>
      <c r="T432"/>
    </row>
    <row r="433" spans="15:20" x14ac:dyDescent="0.2">
      <c r="O433"/>
      <c r="P433"/>
      <c r="Q433"/>
      <c r="R433"/>
      <c r="S433"/>
      <c r="T433"/>
    </row>
    <row r="434" spans="15:20" x14ac:dyDescent="0.2">
      <c r="O434"/>
      <c r="P434"/>
      <c r="Q434"/>
      <c r="R434"/>
      <c r="S434"/>
      <c r="T434"/>
    </row>
    <row r="435" spans="15:20" x14ac:dyDescent="0.2">
      <c r="O435"/>
      <c r="P435"/>
      <c r="Q435"/>
      <c r="R435"/>
      <c r="S435"/>
      <c r="T435"/>
    </row>
    <row r="436" spans="15:20" x14ac:dyDescent="0.2">
      <c r="O436"/>
      <c r="P436"/>
      <c r="Q436"/>
      <c r="R436"/>
      <c r="S436"/>
      <c r="T436"/>
    </row>
    <row r="437" spans="15:20" x14ac:dyDescent="0.2">
      <c r="O437"/>
      <c r="P437"/>
      <c r="Q437"/>
      <c r="R437"/>
      <c r="S437"/>
      <c r="T437"/>
    </row>
    <row r="438" spans="15:20" x14ac:dyDescent="0.2">
      <c r="O438"/>
      <c r="P438"/>
      <c r="Q438"/>
      <c r="R438"/>
      <c r="S438"/>
      <c r="T438"/>
    </row>
    <row r="439" spans="15:20" x14ac:dyDescent="0.2">
      <c r="O439"/>
      <c r="P439"/>
      <c r="Q439"/>
      <c r="R439"/>
      <c r="S439"/>
      <c r="T439"/>
    </row>
    <row r="440" spans="15:20" x14ac:dyDescent="0.2">
      <c r="O440"/>
      <c r="P440"/>
      <c r="Q440"/>
      <c r="R440"/>
      <c r="S440"/>
      <c r="T440"/>
    </row>
    <row r="441" spans="15:20" x14ac:dyDescent="0.2">
      <c r="O441"/>
      <c r="P441"/>
      <c r="Q441"/>
      <c r="R441"/>
      <c r="S441"/>
      <c r="T441"/>
    </row>
    <row r="442" spans="15:20" x14ac:dyDescent="0.2">
      <c r="O442"/>
      <c r="P442"/>
      <c r="Q442"/>
      <c r="R442"/>
      <c r="S442"/>
      <c r="T442"/>
    </row>
    <row r="443" spans="15:20" x14ac:dyDescent="0.2">
      <c r="O443"/>
      <c r="P443"/>
      <c r="Q443"/>
      <c r="R443"/>
      <c r="S443"/>
      <c r="T443"/>
    </row>
    <row r="444" spans="15:20" x14ac:dyDescent="0.2">
      <c r="O444"/>
      <c r="P444"/>
      <c r="Q444"/>
      <c r="R444"/>
      <c r="S444"/>
      <c r="T444"/>
    </row>
    <row r="445" spans="15:20" x14ac:dyDescent="0.2">
      <c r="O445"/>
      <c r="P445"/>
      <c r="Q445"/>
      <c r="R445"/>
      <c r="S445"/>
      <c r="T445"/>
    </row>
    <row r="446" spans="15:20" x14ac:dyDescent="0.2">
      <c r="O446"/>
      <c r="P446"/>
      <c r="Q446"/>
      <c r="R446"/>
      <c r="S446"/>
      <c r="T446"/>
    </row>
    <row r="447" spans="15:20" x14ac:dyDescent="0.2">
      <c r="O447"/>
      <c r="P447"/>
      <c r="Q447"/>
      <c r="R447"/>
      <c r="S447"/>
      <c r="T447"/>
    </row>
    <row r="448" spans="15:20" x14ac:dyDescent="0.2">
      <c r="O448"/>
      <c r="P448"/>
      <c r="Q448"/>
      <c r="R448"/>
      <c r="S448"/>
      <c r="T448"/>
    </row>
    <row r="449" spans="15:20" x14ac:dyDescent="0.2">
      <c r="O449"/>
      <c r="P449"/>
      <c r="Q449"/>
      <c r="R449"/>
      <c r="S449"/>
      <c r="T449"/>
    </row>
    <row r="450" spans="15:20" x14ac:dyDescent="0.2">
      <c r="O450"/>
      <c r="P450"/>
      <c r="Q450"/>
      <c r="R450"/>
      <c r="S450"/>
      <c r="T450"/>
    </row>
    <row r="451" spans="15:20" x14ac:dyDescent="0.2">
      <c r="O451"/>
      <c r="P451"/>
      <c r="Q451"/>
      <c r="R451"/>
      <c r="S451"/>
      <c r="T451"/>
    </row>
    <row r="452" spans="15:20" x14ac:dyDescent="0.2">
      <c r="O452"/>
      <c r="P452"/>
      <c r="Q452"/>
      <c r="R452"/>
      <c r="S452"/>
      <c r="T452"/>
    </row>
    <row r="453" spans="15:20" x14ac:dyDescent="0.2">
      <c r="O453"/>
      <c r="P453"/>
      <c r="Q453"/>
      <c r="R453"/>
      <c r="S453"/>
      <c r="T453"/>
    </row>
    <row r="454" spans="15:20" x14ac:dyDescent="0.2">
      <c r="O454"/>
      <c r="P454"/>
      <c r="Q454"/>
      <c r="R454"/>
      <c r="S454"/>
      <c r="T454"/>
    </row>
    <row r="455" spans="15:20" x14ac:dyDescent="0.2">
      <c r="O455"/>
      <c r="P455"/>
      <c r="Q455"/>
      <c r="R455"/>
      <c r="S455"/>
      <c r="T455"/>
    </row>
    <row r="456" spans="15:20" x14ac:dyDescent="0.2">
      <c r="O456"/>
      <c r="P456"/>
      <c r="Q456"/>
      <c r="R456"/>
      <c r="S456"/>
      <c r="T456"/>
    </row>
    <row r="457" spans="15:20" x14ac:dyDescent="0.2">
      <c r="O457"/>
      <c r="P457"/>
      <c r="Q457"/>
      <c r="R457"/>
      <c r="S457"/>
      <c r="T457"/>
    </row>
    <row r="458" spans="15:20" x14ac:dyDescent="0.2">
      <c r="O458"/>
      <c r="P458"/>
      <c r="Q458"/>
      <c r="R458"/>
      <c r="S458"/>
      <c r="T458"/>
    </row>
    <row r="459" spans="15:20" x14ac:dyDescent="0.2">
      <c r="O459"/>
      <c r="P459"/>
      <c r="Q459"/>
      <c r="R459"/>
      <c r="S459"/>
      <c r="T459"/>
    </row>
    <row r="460" spans="15:20" x14ac:dyDescent="0.2">
      <c r="O460"/>
      <c r="P460"/>
      <c r="Q460"/>
      <c r="R460"/>
      <c r="S460"/>
      <c r="T460"/>
    </row>
    <row r="461" spans="15:20" x14ac:dyDescent="0.2">
      <c r="O461"/>
      <c r="P461"/>
      <c r="Q461"/>
      <c r="R461"/>
      <c r="S461"/>
      <c r="T461"/>
    </row>
    <row r="462" spans="15:20" x14ac:dyDescent="0.2">
      <c r="O462"/>
      <c r="P462"/>
      <c r="Q462"/>
      <c r="R462"/>
      <c r="S462"/>
      <c r="T462"/>
    </row>
    <row r="463" spans="15:20" x14ac:dyDescent="0.2">
      <c r="O463"/>
      <c r="P463"/>
      <c r="Q463"/>
      <c r="R463"/>
      <c r="S463"/>
      <c r="T463"/>
    </row>
    <row r="464" spans="15:20" x14ac:dyDescent="0.2">
      <c r="O464"/>
      <c r="P464"/>
      <c r="Q464"/>
      <c r="R464"/>
      <c r="S464"/>
      <c r="T464"/>
    </row>
    <row r="465" spans="15:20" x14ac:dyDescent="0.2">
      <c r="O465"/>
      <c r="P465"/>
      <c r="Q465"/>
      <c r="R465"/>
      <c r="S465"/>
      <c r="T465"/>
    </row>
    <row r="466" spans="15:20" x14ac:dyDescent="0.2">
      <c r="O466"/>
      <c r="P466"/>
      <c r="Q466"/>
      <c r="R466"/>
      <c r="S466"/>
      <c r="T466"/>
    </row>
    <row r="467" spans="15:20" x14ac:dyDescent="0.2">
      <c r="O467"/>
      <c r="P467"/>
      <c r="Q467"/>
      <c r="R467"/>
      <c r="S467"/>
      <c r="T467"/>
    </row>
    <row r="468" spans="15:20" x14ac:dyDescent="0.2">
      <c r="O468"/>
      <c r="P468"/>
      <c r="Q468"/>
      <c r="R468"/>
      <c r="S468"/>
      <c r="T468"/>
    </row>
    <row r="469" spans="15:20" x14ac:dyDescent="0.2">
      <c r="O469"/>
      <c r="P469"/>
      <c r="Q469"/>
      <c r="R469"/>
      <c r="S469"/>
      <c r="T469"/>
    </row>
    <row r="470" spans="15:20" x14ac:dyDescent="0.2">
      <c r="O470"/>
      <c r="P470"/>
      <c r="Q470"/>
      <c r="R470"/>
      <c r="S470"/>
      <c r="T470"/>
    </row>
    <row r="471" spans="15:20" x14ac:dyDescent="0.2">
      <c r="O471"/>
      <c r="P471"/>
      <c r="Q471"/>
      <c r="R471"/>
      <c r="S471"/>
      <c r="T471"/>
    </row>
    <row r="472" spans="15:20" x14ac:dyDescent="0.2">
      <c r="O472"/>
      <c r="P472"/>
      <c r="Q472"/>
      <c r="R472"/>
      <c r="S472"/>
      <c r="T472"/>
    </row>
    <row r="473" spans="15:20" x14ac:dyDescent="0.2">
      <c r="O473"/>
      <c r="P473"/>
      <c r="Q473"/>
      <c r="R473"/>
      <c r="S473"/>
      <c r="T473"/>
    </row>
    <row r="474" spans="15:20" x14ac:dyDescent="0.2">
      <c r="O474"/>
      <c r="P474"/>
      <c r="Q474"/>
      <c r="R474"/>
      <c r="S474"/>
      <c r="T474"/>
    </row>
    <row r="475" spans="15:20" x14ac:dyDescent="0.2">
      <c r="O475"/>
      <c r="P475"/>
      <c r="Q475"/>
      <c r="R475"/>
      <c r="S475"/>
      <c r="T475"/>
    </row>
    <row r="476" spans="15:20" x14ac:dyDescent="0.2">
      <c r="O476"/>
      <c r="P476"/>
      <c r="Q476"/>
      <c r="R476"/>
      <c r="S476"/>
      <c r="T476"/>
    </row>
    <row r="477" spans="15:20" x14ac:dyDescent="0.2">
      <c r="O477"/>
      <c r="P477"/>
      <c r="Q477"/>
      <c r="R477"/>
      <c r="S477"/>
      <c r="T477"/>
    </row>
    <row r="478" spans="15:20" x14ac:dyDescent="0.2">
      <c r="O478"/>
      <c r="P478"/>
      <c r="Q478"/>
      <c r="R478"/>
      <c r="S478"/>
      <c r="T478"/>
    </row>
    <row r="479" spans="15:20" x14ac:dyDescent="0.2">
      <c r="O479"/>
      <c r="P479"/>
      <c r="Q479"/>
      <c r="R479"/>
      <c r="S479"/>
      <c r="T479"/>
    </row>
    <row r="480" spans="15:20" x14ac:dyDescent="0.2">
      <c r="O480"/>
      <c r="P480"/>
      <c r="Q480"/>
      <c r="R480"/>
      <c r="S480"/>
      <c r="T480"/>
    </row>
    <row r="481" spans="15:20" x14ac:dyDescent="0.2">
      <c r="O481"/>
      <c r="P481"/>
      <c r="Q481"/>
      <c r="R481"/>
      <c r="S481"/>
      <c r="T481"/>
    </row>
    <row r="482" spans="15:20" x14ac:dyDescent="0.2">
      <c r="O482"/>
      <c r="P482"/>
      <c r="Q482"/>
      <c r="R482"/>
      <c r="S482"/>
      <c r="T482"/>
    </row>
    <row r="483" spans="15:20" x14ac:dyDescent="0.2">
      <c r="O483"/>
      <c r="P483"/>
      <c r="Q483"/>
      <c r="R483"/>
      <c r="S483"/>
      <c r="T483"/>
    </row>
    <row r="484" spans="15:20" x14ac:dyDescent="0.2">
      <c r="O484"/>
      <c r="P484"/>
      <c r="Q484"/>
      <c r="R484"/>
      <c r="S484"/>
      <c r="T484"/>
    </row>
    <row r="485" spans="15:20" x14ac:dyDescent="0.2">
      <c r="O485"/>
      <c r="P485"/>
      <c r="Q485"/>
      <c r="R485"/>
      <c r="S485"/>
      <c r="T485"/>
    </row>
    <row r="486" spans="15:20" x14ac:dyDescent="0.2">
      <c r="O486"/>
      <c r="P486"/>
      <c r="Q486"/>
      <c r="R486"/>
      <c r="S486"/>
      <c r="T486"/>
    </row>
    <row r="487" spans="15:20" x14ac:dyDescent="0.2">
      <c r="O487"/>
      <c r="P487"/>
      <c r="Q487"/>
      <c r="R487"/>
      <c r="S487"/>
      <c r="T487"/>
    </row>
  </sheetData>
  <autoFilter ref="A1:AV1">
    <filterColumn colId="1" showButton="0"/>
    <filterColumn colId="2" showButton="0"/>
    <filterColumn colId="3" showButton="0"/>
    <filterColumn colId="4" showButton="0"/>
    <filterColumn colId="6" showButton="0"/>
    <filterColumn colId="8" showButton="0"/>
    <filterColumn colId="10" showButton="0"/>
    <filterColumn colId="12" showButton="0"/>
    <filterColumn colId="20" showButton="0"/>
    <filterColumn colId="23" showButton="0"/>
    <filterColumn colId="25" showButton="0"/>
    <filterColumn colId="27" showButton="0"/>
    <filterColumn colId="29" showButton="0"/>
    <filterColumn colId="30" showButton="0"/>
    <filterColumn colId="32" showButton="0"/>
    <filterColumn colId="33" showButton="0"/>
    <filterColumn colId="34" showButton="0"/>
    <filterColumn colId="36" showButton="0"/>
    <filterColumn colId="37" showButton="0"/>
  </autoFilter>
  <mergeCells count="61">
    <mergeCell ref="AG1:AJ1"/>
    <mergeCell ref="AK1:AM1"/>
    <mergeCell ref="U1:V1"/>
    <mergeCell ref="X1:Y1"/>
    <mergeCell ref="Z1:AA1"/>
    <mergeCell ref="AB1:AC1"/>
    <mergeCell ref="AD1:AF1"/>
    <mergeCell ref="B1:F1"/>
    <mergeCell ref="G1:H1"/>
    <mergeCell ref="I1:J1"/>
    <mergeCell ref="K1:L1"/>
    <mergeCell ref="M1:N1"/>
    <mergeCell ref="B42:F42"/>
    <mergeCell ref="G42:H42"/>
    <mergeCell ref="I42:J42"/>
    <mergeCell ref="K42:L42"/>
    <mergeCell ref="M42:N42"/>
    <mergeCell ref="O42:P42"/>
    <mergeCell ref="U42:V42"/>
    <mergeCell ref="X42:Y42"/>
    <mergeCell ref="Z42:AA42"/>
    <mergeCell ref="AB42:AC42"/>
    <mergeCell ref="AD42:AF42"/>
    <mergeCell ref="AG42:AJ42"/>
    <mergeCell ref="AK42:AM42"/>
    <mergeCell ref="AN42:AO42"/>
    <mergeCell ref="AP42:AR42"/>
    <mergeCell ref="B43:F43"/>
    <mergeCell ref="G43:H43"/>
    <mergeCell ref="I43:J43"/>
    <mergeCell ref="K43:L43"/>
    <mergeCell ref="M43:N43"/>
    <mergeCell ref="O43:P43"/>
    <mergeCell ref="U43:V43"/>
    <mergeCell ref="X43:Y43"/>
    <mergeCell ref="Z43:AA43"/>
    <mergeCell ref="AB43:AC43"/>
    <mergeCell ref="AD43:AF43"/>
    <mergeCell ref="AG43:AJ43"/>
    <mergeCell ref="AK43:AM43"/>
    <mergeCell ref="AN43:AO43"/>
    <mergeCell ref="AP43:AR43"/>
    <mergeCell ref="B44:F44"/>
    <mergeCell ref="G44:H44"/>
    <mergeCell ref="I44:J44"/>
    <mergeCell ref="K44:L44"/>
    <mergeCell ref="M44:N44"/>
    <mergeCell ref="AN44:AO44"/>
    <mergeCell ref="AP44:AR44"/>
    <mergeCell ref="O44:P44"/>
    <mergeCell ref="U44:V44"/>
    <mergeCell ref="X44:Y44"/>
    <mergeCell ref="Z44:AA44"/>
    <mergeCell ref="AB44:AC44"/>
    <mergeCell ref="AB45:AC45"/>
    <mergeCell ref="AD45:AF45"/>
    <mergeCell ref="AG45:AI45"/>
    <mergeCell ref="AK45:AM45"/>
    <mergeCell ref="AD44:AF44"/>
    <mergeCell ref="AG44:AJ44"/>
    <mergeCell ref="AK44:AM44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schedule</vt:lpstr>
      <vt:lpstr>schedule2</vt:lpstr>
      <vt:lpstr>plan</vt:lpstr>
      <vt:lpstr>schedule!Print_Area</vt:lpstr>
      <vt:lpstr>schedule2!Print_Area</vt:lpstr>
    </vt:vector>
  </TitlesOfParts>
  <Company>LCB1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Sompoch</dc:creator>
  <cp:lastModifiedBy>Chutchai S.</cp:lastModifiedBy>
  <cp:lastPrinted>2017-05-20T07:39:37Z</cp:lastPrinted>
  <dcterms:created xsi:type="dcterms:W3CDTF">2010-12-29T11:24:12Z</dcterms:created>
  <dcterms:modified xsi:type="dcterms:W3CDTF">2017-08-01T07:52:06Z</dcterms:modified>
</cp:coreProperties>
</file>