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Password="EAD7" lockStructure="1"/>
  <bookViews>
    <workbookView xWindow="6330" yWindow="1260" windowWidth="12600" windowHeight="7140"/>
  </bookViews>
  <sheets>
    <sheet name="schedule" sheetId="12" r:id="rId1"/>
    <sheet name="schedule2" sheetId="11" r:id="rId2"/>
    <sheet name="plan" sheetId="3" r:id="rId3"/>
  </sheets>
  <functionGroups builtInGroupCount="17"/>
  <definedNames>
    <definedName name="_xlnm._FilterDatabase" localSheetId="2" hidden="1">plan!$A$1:$AV$1</definedName>
    <definedName name="_xlnm._FilterDatabase" localSheetId="0" hidden="1">schedule!#REF!</definedName>
    <definedName name="_xlnm._FilterDatabase" localSheetId="1" hidden="1">schedule2!#REF!</definedName>
    <definedName name="_xlnm.Print_Area" localSheetId="0">schedule!$A$1:$AV$73</definedName>
    <definedName name="_xlnm.Print_Area" localSheetId="1">schedule2!$A$1:$AV$12</definedName>
  </definedNames>
  <calcPr calcId="144525"/>
</workbook>
</file>

<file path=xl/calcChain.xml><?xml version="1.0" encoding="utf-8"?>
<calcChain xmlns="http://schemas.openxmlformats.org/spreadsheetml/2006/main">
  <c r="AD75" i="12" l="1"/>
  <c r="B51" i="12" l="1"/>
  <c r="H50" i="12"/>
  <c r="H4" i="12"/>
  <c r="H4" i="11" l="1"/>
</calcChain>
</file>

<file path=xl/comments1.xml><?xml version="1.0" encoding="utf-8"?>
<comments xmlns="http://schemas.openxmlformats.org/spreadsheetml/2006/main">
  <authors>
    <author>Chutchai S.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Month Start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Date Start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Month Stop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Date Stop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<sst xmlns="http://schemas.openxmlformats.org/spreadsheetml/2006/main" count="812" uniqueCount="327">
  <si>
    <t>Day</t>
  </si>
  <si>
    <t>Hr</t>
  </si>
  <si>
    <t>Date</t>
  </si>
  <si>
    <t>Possition</t>
  </si>
  <si>
    <t>Voy</t>
  </si>
  <si>
    <t>LOA</t>
  </si>
  <si>
    <t>DIS</t>
  </si>
  <si>
    <t>LOAD</t>
  </si>
  <si>
    <t>TOTAL</t>
  </si>
  <si>
    <t>Code</t>
  </si>
  <si>
    <t>Service</t>
  </si>
  <si>
    <t>MON</t>
  </si>
  <si>
    <t>TUE</t>
  </si>
  <si>
    <t>WED</t>
  </si>
  <si>
    <t>THU</t>
  </si>
  <si>
    <t>FRI</t>
  </si>
  <si>
    <t>SAT</t>
  </si>
  <si>
    <t>SUN</t>
  </si>
  <si>
    <t>Possition for Pilot</t>
  </si>
  <si>
    <t>sds</t>
  </si>
  <si>
    <t>Berth</t>
  </si>
  <si>
    <t>Vessel</t>
  </si>
  <si>
    <t>StartPos</t>
  </si>
  <si>
    <t>Comment</t>
  </si>
  <si>
    <t>Type</t>
  </si>
  <si>
    <t>G</t>
  </si>
  <si>
    <t>EstTeu</t>
  </si>
  <si>
    <t>MoveProforma</t>
  </si>
  <si>
    <t>UpdateMoves</t>
  </si>
  <si>
    <t>ArrivalDraft</t>
  </si>
  <si>
    <t>VslOperator</t>
  </si>
  <si>
    <t>ProformaOut</t>
  </si>
  <si>
    <t>ProformaIn</t>
  </si>
  <si>
    <t>WEEK</t>
  </si>
  <si>
    <t>ETD_DATE</t>
  </si>
  <si>
    <t>ETB_DATE</t>
  </si>
  <si>
    <t>ETB_TIME</t>
  </si>
  <si>
    <t>ETA_DATE</t>
  </si>
  <si>
    <t>ETA_TIME</t>
  </si>
  <si>
    <t>ETD_TIME</t>
  </si>
  <si>
    <t>Last update :</t>
  </si>
  <si>
    <t>Show</t>
  </si>
  <si>
    <t>DATE</t>
  </si>
  <si>
    <t>YEAR</t>
  </si>
  <si>
    <t>Color</t>
  </si>
  <si>
    <t>slug</t>
  </si>
  <si>
    <t>startCol</t>
  </si>
  <si>
    <t>stopCol</t>
  </si>
  <si>
    <t>Y</t>
  </si>
  <si>
    <t xml:space="preserve">Vessel </t>
  </si>
  <si>
    <t>Proforma (in-out)</t>
  </si>
  <si>
    <t>ETA</t>
  </si>
  <si>
    <t>ETB</t>
  </si>
  <si>
    <t>ETD</t>
  </si>
  <si>
    <t>Est. Teu.</t>
  </si>
  <si>
    <t>Move Proforma</t>
  </si>
  <si>
    <t>Update Moves</t>
  </si>
  <si>
    <t>Arrival Draft</t>
  </si>
  <si>
    <t>Vsl  Operator</t>
  </si>
  <si>
    <t>MCC</t>
  </si>
  <si>
    <t>HORN-LOAD</t>
  </si>
  <si>
    <t>MSK</t>
  </si>
  <si>
    <t>TextPos</t>
  </si>
  <si>
    <t>IA2</t>
  </si>
  <si>
    <t>A0</t>
  </si>
  <si>
    <t>VESSEL</t>
  </si>
  <si>
    <t>#CCFFFF</t>
  </si>
  <si>
    <t>AV</t>
  </si>
  <si>
    <t>AE</t>
  </si>
  <si>
    <t>R</t>
  </si>
  <si>
    <t>B1</t>
  </si>
  <si>
    <t>Terminal</t>
  </si>
  <si>
    <t>Total TUES</t>
  </si>
  <si>
    <t>Total Vessle Call</t>
  </si>
  <si>
    <t>VTS-DISH</t>
  </si>
  <si>
    <t>KMTC TAIPEIS</t>
  </si>
  <si>
    <t>KTP</t>
  </si>
  <si>
    <t>2</t>
  </si>
  <si>
    <t>KMD</t>
  </si>
  <si>
    <t>A0/1</t>
  </si>
  <si>
    <t>DISH ONLY</t>
  </si>
  <si>
    <t>3</t>
  </si>
  <si>
    <t>1722-1723</t>
  </si>
  <si>
    <t>THAI2</t>
  </si>
  <si>
    <t>MSC</t>
  </si>
  <si>
    <t>SE1</t>
  </si>
  <si>
    <t>KTS-DISH</t>
  </si>
  <si>
    <t>SAWASDEE SINGAPORE</t>
  </si>
  <si>
    <t>SWSG</t>
  </si>
  <si>
    <t>SKR</t>
  </si>
  <si>
    <t>KHS1-DISC</t>
  </si>
  <si>
    <t>VTS-LOAD</t>
  </si>
  <si>
    <t>ANX</t>
  </si>
  <si>
    <t>NTX-DISC</t>
  </si>
  <si>
    <t>STARSHIP TAURUS</t>
  </si>
  <si>
    <t>NSST</t>
  </si>
  <si>
    <t>TR1</t>
  </si>
  <si>
    <t>PH4</t>
  </si>
  <si>
    <t>5-3</t>
  </si>
  <si>
    <t>BOOM</t>
  </si>
  <si>
    <t>WIDE BRAVO</t>
  </si>
  <si>
    <t>F1F</t>
  </si>
  <si>
    <t>722N/722S</t>
  </si>
  <si>
    <t>1</t>
  </si>
  <si>
    <t>B</t>
  </si>
  <si>
    <t>B2</t>
  </si>
  <si>
    <t>EVG</t>
  </si>
  <si>
    <t>#69FF12</t>
  </si>
  <si>
    <t>D</t>
  </si>
  <si>
    <t>310M</t>
  </si>
  <si>
    <t>4</t>
  </si>
  <si>
    <t>KHS2-DISH</t>
  </si>
  <si>
    <t>14/22:00</t>
  </si>
  <si>
    <t>LOV</t>
  </si>
  <si>
    <t>ProformaIn_time</t>
  </si>
  <si>
    <t>ProformaOut_time</t>
  </si>
  <si>
    <t>14/10:00</t>
  </si>
  <si>
    <t>14/00:01</t>
  </si>
  <si>
    <t>11/08:00</t>
  </si>
  <si>
    <t>13/08:00</t>
  </si>
  <si>
    <t>#26B0FF</t>
  </si>
  <si>
    <t>TAL MILIONE</t>
  </si>
  <si>
    <t>1-v-26-27-28-43-44</t>
  </si>
  <si>
    <t>12/10:00</t>
  </si>
  <si>
    <t>12/22:00</t>
  </si>
  <si>
    <t>12/23:00</t>
  </si>
  <si>
    <t>LOAD ONLY</t>
  </si>
  <si>
    <t>S</t>
  </si>
  <si>
    <t>E</t>
  </si>
  <si>
    <t>AA</t>
  </si>
  <si>
    <t>T</t>
  </si>
  <si>
    <t>#AEBCBD</t>
  </si>
  <si>
    <t>#FFFF45</t>
  </si>
  <si>
    <t>CUT off SAT 05.00hrs</t>
  </si>
  <si>
    <t>722n722s-v</t>
  </si>
  <si>
    <t>UTC</t>
  </si>
  <si>
    <t>SAW1</t>
  </si>
  <si>
    <t>BARGE</t>
  </si>
  <si>
    <t>#FFEDC2</t>
  </si>
  <si>
    <t>1706N</t>
  </si>
  <si>
    <t>N</t>
  </si>
  <si>
    <t>1706n-v</t>
  </si>
  <si>
    <t>KTS-LOAD</t>
  </si>
  <si>
    <t>0082N</t>
  </si>
  <si>
    <t>#FF78D6</t>
  </si>
  <si>
    <t>0082n-v</t>
  </si>
  <si>
    <t>NTX-LOAD</t>
  </si>
  <si>
    <t>0002N</t>
  </si>
  <si>
    <t>0002n-v</t>
  </si>
  <si>
    <t>HS ONORE</t>
  </si>
  <si>
    <t>E6E</t>
  </si>
  <si>
    <t>1720-1721</t>
  </si>
  <si>
    <t>1720-1721-v</t>
  </si>
  <si>
    <t>KMTC ULSAN</t>
  </si>
  <si>
    <t>KUS</t>
  </si>
  <si>
    <t>1710N</t>
  </si>
  <si>
    <t>1710n-v</t>
  </si>
  <si>
    <t>HEUNG-A BANGKOK</t>
  </si>
  <si>
    <t>HABK</t>
  </si>
  <si>
    <t>0018S</t>
  </si>
  <si>
    <t>HAS</t>
  </si>
  <si>
    <t>Discharge only</t>
  </si>
  <si>
    <t>0018s-v</t>
  </si>
  <si>
    <t>1710S</t>
  </si>
  <si>
    <t>DISCHARGE ONLY</t>
  </si>
  <si>
    <t>1710s-v-5</t>
  </si>
  <si>
    <t>MERATUS JAYAKARTA</t>
  </si>
  <si>
    <t>MJAY</t>
  </si>
  <si>
    <t>HP732A/R</t>
  </si>
  <si>
    <t>#FFC387</t>
  </si>
  <si>
    <t>hp732ar-v</t>
  </si>
  <si>
    <t>ALM VIETNAM</t>
  </si>
  <si>
    <t>C8R</t>
  </si>
  <si>
    <t>1712</t>
  </si>
  <si>
    <t>3-5</t>
  </si>
  <si>
    <t>1711-v</t>
  </si>
  <si>
    <t>HORN-DISH</t>
  </si>
  <si>
    <t>1711</t>
  </si>
  <si>
    <t>1711-v-50</t>
  </si>
  <si>
    <t>TOVE MAERSK</t>
  </si>
  <si>
    <t>J82</t>
  </si>
  <si>
    <t>1722-1723-v-7-16</t>
  </si>
  <si>
    <t>SPIRIT OF CAPE TOWN</t>
  </si>
  <si>
    <t>D2R</t>
  </si>
  <si>
    <t>1743-1744</t>
  </si>
  <si>
    <t>1743-1744-v</t>
  </si>
  <si>
    <t>CARL SCHULTE</t>
  </si>
  <si>
    <t>G08</t>
  </si>
  <si>
    <t>723N-723S</t>
  </si>
  <si>
    <t>723n-723s-v</t>
  </si>
  <si>
    <t>PORT ADELAIDE</t>
  </si>
  <si>
    <t>PAD</t>
  </si>
  <si>
    <t>1707S</t>
  </si>
  <si>
    <t>WAIT CHECK</t>
  </si>
  <si>
    <t>#D3A1FF</t>
  </si>
  <si>
    <t>1707s-v</t>
  </si>
  <si>
    <t>HAPPY BEE</t>
  </si>
  <si>
    <t>HPBE</t>
  </si>
  <si>
    <t>1463S</t>
  </si>
  <si>
    <t>WAITING CHECK</t>
  </si>
  <si>
    <t>1463s-v</t>
  </si>
  <si>
    <t>KHS2</t>
  </si>
  <si>
    <t>HEUNG-A HOCHIMINH</t>
  </si>
  <si>
    <t>HAHC</t>
  </si>
  <si>
    <t>0015S-0015N</t>
  </si>
  <si>
    <t>COMBINE</t>
  </si>
  <si>
    <t>#5475F7</t>
  </si>
  <si>
    <t>0015s-0015n-v</t>
  </si>
  <si>
    <t>SKY ORION</t>
  </si>
  <si>
    <t>SORN</t>
  </si>
  <si>
    <t>1711S</t>
  </si>
  <si>
    <t>CKL</t>
  </si>
  <si>
    <t>1711s-v</t>
  </si>
  <si>
    <t>1463N</t>
  </si>
  <si>
    <t>1463n-v</t>
  </si>
  <si>
    <t>APOLLON D</t>
  </si>
  <si>
    <t>B7U</t>
  </si>
  <si>
    <t>1722-1723-v-7-16-52</t>
  </si>
  <si>
    <t>UNI-PERFECT</t>
  </si>
  <si>
    <t>350M</t>
  </si>
  <si>
    <t>1-v-26-27-28-43-44-67</t>
  </si>
  <si>
    <t>SIMA GISELLE</t>
  </si>
  <si>
    <t>1-v-26-27-28-43-44-67-68</t>
  </si>
  <si>
    <t>XXX</t>
  </si>
  <si>
    <t>XX</t>
  </si>
  <si>
    <t>b2-v</t>
  </si>
  <si>
    <t>MCC SEOUL</t>
  </si>
  <si>
    <t>4CO</t>
  </si>
  <si>
    <t>1715-1716</t>
  </si>
  <si>
    <t>1715-1716-v</t>
  </si>
  <si>
    <t>KMTC KEELUNG</t>
  </si>
  <si>
    <t>KKL</t>
  </si>
  <si>
    <t>1710s</t>
  </si>
  <si>
    <t>1710s-v</t>
  </si>
  <si>
    <t>1706n-v-4</t>
  </si>
  <si>
    <t>Dredging</t>
  </si>
  <si>
    <t>DG</t>
  </si>
  <si>
    <t>NOTICE</t>
  </si>
  <si>
    <t>Dreg_x000D__x000D_
06.00-18.00HR</t>
  </si>
  <si>
    <t>#898494</t>
  </si>
  <si>
    <t>1-v-26-27-28-43-44-67-68-69</t>
  </si>
  <si>
    <t>STS</t>
  </si>
  <si>
    <t>STS1</t>
  </si>
  <si>
    <t>143N</t>
  </si>
  <si>
    <t>#CFCBBC</t>
  </si>
  <si>
    <t>143n-v</t>
  </si>
  <si>
    <t>17059E</t>
  </si>
  <si>
    <t>17059e-v</t>
  </si>
  <si>
    <t>AA17059I</t>
  </si>
  <si>
    <t>aa17059i-v</t>
  </si>
  <si>
    <t>14/01:00</t>
  </si>
  <si>
    <t>13/20:00</t>
  </si>
  <si>
    <t>14/17:00</t>
  </si>
  <si>
    <t>14/18:00</t>
  </si>
  <si>
    <t>16/02:00</t>
  </si>
  <si>
    <t>08/08:00</t>
  </si>
  <si>
    <t>08/18:00</t>
  </si>
  <si>
    <t>14/23:00</t>
  </si>
  <si>
    <t>15/09:00</t>
  </si>
  <si>
    <t>15/08:00</t>
  </si>
  <si>
    <t>15/18:00</t>
  </si>
  <si>
    <t>15/10:00</t>
  </si>
  <si>
    <t>15/11:00</t>
  </si>
  <si>
    <t>15/00:01</t>
  </si>
  <si>
    <t>16/06:00</t>
  </si>
  <si>
    <t>15/20:00</t>
  </si>
  <si>
    <t>14/08:00</t>
  </si>
  <si>
    <t>14/14:00</t>
  </si>
  <si>
    <t>16/19:00</t>
  </si>
  <si>
    <t>16/20:00</t>
  </si>
  <si>
    <t>17/02:00</t>
  </si>
  <si>
    <t>14/11:00</t>
  </si>
  <si>
    <t>16/08:00</t>
  </si>
  <si>
    <t>16/09:00</t>
  </si>
  <si>
    <t>16/17:00</t>
  </si>
  <si>
    <t>16/15:00</t>
  </si>
  <si>
    <t>17/11:00</t>
  </si>
  <si>
    <t>16/13:00</t>
  </si>
  <si>
    <t>16/14:00</t>
  </si>
  <si>
    <t>17/10:00</t>
  </si>
  <si>
    <t>17/13:00</t>
  </si>
  <si>
    <t>18/19:00</t>
  </si>
  <si>
    <t>17/12:00</t>
  </si>
  <si>
    <t>18/11:00</t>
  </si>
  <si>
    <t>17/00:01</t>
  </si>
  <si>
    <t>18/03:00</t>
  </si>
  <si>
    <t>17/16:00</t>
  </si>
  <si>
    <t>14/07:00</t>
  </si>
  <si>
    <t>14/16:00</t>
  </si>
  <si>
    <t>16/21:00</t>
  </si>
  <si>
    <t>17/05:00</t>
  </si>
  <si>
    <t>17/15:00</t>
  </si>
  <si>
    <t/>
  </si>
  <si>
    <t>17/22:00</t>
  </si>
  <si>
    <t>17/20:00</t>
  </si>
  <si>
    <t>17/21:00</t>
  </si>
  <si>
    <t>18/08:00</t>
  </si>
  <si>
    <t>20/08:00</t>
  </si>
  <si>
    <t>18/07:00</t>
  </si>
  <si>
    <t>18/16:00</t>
  </si>
  <si>
    <t>19/02:00</t>
  </si>
  <si>
    <t>21/00:01</t>
  </si>
  <si>
    <t>21/11:00</t>
  </si>
  <si>
    <t>18/06:00</t>
  </si>
  <si>
    <t>18/12:00</t>
  </si>
  <si>
    <t>18/20:00</t>
  </si>
  <si>
    <t>18/00:01</t>
  </si>
  <si>
    <t>18/15:00</t>
  </si>
  <si>
    <t>18/01:00</t>
  </si>
  <si>
    <t>19/10:00</t>
  </si>
  <si>
    <t>19/22:00</t>
  </si>
  <si>
    <t>19/18:00</t>
  </si>
  <si>
    <t>19/19:00</t>
  </si>
  <si>
    <t>20/05:00</t>
  </si>
  <si>
    <t>20/10:00</t>
  </si>
  <si>
    <t>21/10:00</t>
  </si>
  <si>
    <t>20/09:00</t>
  </si>
  <si>
    <t>18/21:00</t>
  </si>
  <si>
    <t>19/03:00</t>
  </si>
  <si>
    <t>20/16:00</t>
  </si>
  <si>
    <t>20/17:00</t>
  </si>
  <si>
    <t>20/23:00</t>
  </si>
  <si>
    <t>20/20:00</t>
  </si>
  <si>
    <t>21/22:00</t>
  </si>
  <si>
    <t>20/19:00</t>
  </si>
  <si>
    <t>20/02:00</t>
  </si>
  <si>
    <t>20/01:00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</si>
</sst>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h:mm;@"/>
  </numFmts>
  <fonts count="39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9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8"/>
      <name val="Arial"/>
      <family val="2"/>
    </font>
    <font>
      <sz val="14"/>
      <name val="Arial"/>
      <family val="2"/>
    </font>
    <font>
      <sz val="11"/>
      <name val="Calibri"/>
      <family val="2"/>
    </font>
    <font>
      <b/>
      <sz val="16"/>
      <color theme="1"/>
      <name val="Arial"/>
      <family val="2"/>
    </font>
    <font>
      <b/>
      <sz val="16"/>
      <color rgb="FFFF0000"/>
      <name val="Arial"/>
      <family val="2"/>
    </font>
    <font>
      <sz val="12"/>
      <color theme="0"/>
      <name val="Arial"/>
      <family val="2"/>
    </font>
    <font>
      <sz val="12"/>
      <color rgb="FFFF0000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8"/>
      <color theme="1"/>
      <name val="Arial"/>
      <family val="2"/>
    </font>
    <font>
      <b/>
      <sz val="18"/>
      <color theme="0"/>
      <name val="Arial"/>
      <family val="2"/>
    </font>
    <font>
      <sz val="18"/>
      <color theme="0"/>
      <name val="Arial"/>
      <family val="2"/>
    </font>
    <font>
      <sz val="16"/>
      <color theme="0"/>
      <name val="Arial"/>
      <family val="2"/>
    </font>
    <font>
      <b/>
      <sz val="14"/>
      <color rgb="FFFFFF00"/>
      <name val="Arial"/>
      <family val="2"/>
    </font>
    <font>
      <b/>
      <sz val="11"/>
      <color theme="0"/>
      <name val="Arial"/>
      <family val="2"/>
    </font>
    <font>
      <b/>
      <sz val="18"/>
      <color rgb="FFFFFFFF"/>
      <name val="Calibri"/>
      <family val="2"/>
    </font>
    <font>
      <sz val="16"/>
      <color theme="1"/>
      <name val="Arial"/>
      <family val="2"/>
    </font>
    <font>
      <sz val="10"/>
      <color rgb="FF000000"/>
      <name val="Arial"/>
      <family val="2"/>
    </font>
    <font>
      <b/>
      <sz val="20"/>
      <name val="Arial"/>
      <family val="2"/>
    </font>
    <font>
      <b/>
      <sz val="10"/>
      <color rgb="FFFFFFFF"/>
      <name val="Arial"/>
      <family val="2"/>
    </font>
    <font>
      <b/>
      <sz val="18"/>
      <color rgb="FFFFFF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8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Dashed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/>
      <bottom style="medium">
        <color indexed="64"/>
      </bottom>
      <diagonal/>
    </border>
    <border>
      <left style="mediumDash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0" fontId="6" fillId="0" borderId="0"/>
    <xf numFmtId="0" fontId="6" fillId="0" borderId="0"/>
  </cellStyleXfs>
  <cellXfs count="318">
    <xf numFmtId="0" fontId="0" fillId="0" borderId="0" xfId="0"/>
    <xf numFmtId="0" fontId="2" fillId="0" borderId="0" xfId="0" applyFont="1"/>
    <xf numFmtId="0" fontId="6" fillId="0" borderId="0" xfId="0" applyFont="1"/>
    <xf numFmtId="0" fontId="4" fillId="0" borderId="1" xfId="0" applyFont="1" applyBorder="1"/>
    <xf numFmtId="0" fontId="4" fillId="0" borderId="0" xfId="0" applyFont="1"/>
    <xf numFmtId="0" fontId="9" fillId="0" borderId="0" xfId="0" applyFont="1" applyBorder="1"/>
    <xf numFmtId="0" fontId="5" fillId="0" borderId="0" xfId="0" applyFont="1" applyBorder="1"/>
    <xf numFmtId="0" fontId="2" fillId="0" borderId="0" xfId="0" applyFont="1" applyBorder="1"/>
    <xf numFmtId="0" fontId="4" fillId="0" borderId="0" xfId="0" applyFont="1" applyBorder="1"/>
    <xf numFmtId="0" fontId="6" fillId="0" borderId="0" xfId="0" applyFont="1" applyFill="1" applyBorder="1"/>
    <xf numFmtId="0" fontId="6" fillId="0" borderId="1" xfId="0" applyFont="1" applyBorder="1"/>
    <xf numFmtId="0" fontId="7" fillId="2" borderId="1" xfId="0" applyFont="1" applyFill="1" applyBorder="1"/>
    <xf numFmtId="0" fontId="7" fillId="3" borderId="7" xfId="0" applyFont="1" applyFill="1" applyBorder="1"/>
    <xf numFmtId="0" fontId="7" fillId="3" borderId="1" xfId="0" applyFont="1" applyFill="1" applyBorder="1"/>
    <xf numFmtId="0" fontId="7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7" fillId="4" borderId="1" xfId="0" applyFont="1" applyFill="1" applyBorder="1"/>
    <xf numFmtId="0" fontId="4" fillId="3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Border="1"/>
    <xf numFmtId="0" fontId="7" fillId="0" borderId="0" xfId="0" applyFont="1" applyFill="1" applyBorder="1"/>
    <xf numFmtId="0" fontId="7" fillId="7" borderId="9" xfId="0" applyFont="1" applyFill="1" applyBorder="1" applyAlignment="1">
      <alignment horizontal="left"/>
    </xf>
    <xf numFmtId="0" fontId="7" fillId="7" borderId="8" xfId="0" applyFont="1" applyFill="1" applyBorder="1" applyAlignment="1">
      <alignment horizontal="left"/>
    </xf>
    <xf numFmtId="0" fontId="24" fillId="0" borderId="0" xfId="0" applyFont="1" applyFill="1"/>
    <xf numFmtId="0" fontId="26" fillId="0" borderId="0" xfId="0" applyFont="1" applyFill="1"/>
    <xf numFmtId="0" fontId="28" fillId="0" borderId="0" xfId="0" quotePrefix="1" applyFont="1" applyFill="1"/>
    <xf numFmtId="0" fontId="28" fillId="0" borderId="0" xfId="0" applyFont="1" applyFill="1"/>
    <xf numFmtId="0" fontId="22" fillId="0" borderId="0" xfId="0" applyFont="1" applyFill="1"/>
    <xf numFmtId="0" fontId="32" fillId="0" borderId="0" xfId="0" applyFont="1" applyFill="1"/>
    <xf numFmtId="0" fontId="7" fillId="7" borderId="1" xfId="0" applyFont="1" applyFill="1" applyBorder="1" applyAlignment="1">
      <alignment horizontal="left"/>
    </xf>
    <xf numFmtId="0" fontId="6" fillId="0" borderId="1" xfId="0" applyFont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9" fillId="0" borderId="1" xfId="0" applyFont="1" applyBorder="1" applyAlignment="1">
      <alignment horizontal="right"/>
    </xf>
    <xf numFmtId="0" fontId="9" fillId="0" borderId="1" xfId="0" applyFont="1" applyFill="1" applyBorder="1"/>
    <xf numFmtId="0" fontId="5" fillId="0" borderId="1" xfId="0" applyFont="1" applyFill="1" applyBorder="1"/>
    <xf numFmtId="0" fontId="9" fillId="0" borderId="1" xfId="0" applyFont="1" applyBorder="1"/>
    <xf numFmtId="0" fontId="2" fillId="0" borderId="1" xfId="0" applyFont="1" applyFill="1" applyBorder="1"/>
    <xf numFmtId="0" fontId="7" fillId="0" borderId="6" xfId="0" applyFont="1" applyBorder="1"/>
    <xf numFmtId="0" fontId="7" fillId="0" borderId="6" xfId="0" applyFont="1" applyFill="1" applyBorder="1"/>
    <xf numFmtId="0" fontId="3" fillId="0" borderId="6" xfId="0" applyFont="1" applyFill="1" applyBorder="1" applyAlignment="1">
      <alignment horizontal="center" vertical="center"/>
    </xf>
    <xf numFmtId="0" fontId="9" fillId="0" borderId="12" xfId="0" applyFont="1" applyFill="1" applyBorder="1"/>
    <xf numFmtId="0" fontId="9" fillId="0" borderId="12" xfId="0" applyFont="1" applyBorder="1"/>
    <xf numFmtId="0" fontId="12" fillId="0" borderId="12" xfId="0" applyFont="1" applyBorder="1"/>
    <xf numFmtId="0" fontId="5" fillId="0" borderId="12" xfId="0" applyFont="1" applyBorder="1"/>
    <xf numFmtId="0" fontId="5" fillId="0" borderId="12" xfId="0" applyFont="1" applyFill="1" applyBorder="1"/>
    <xf numFmtId="0" fontId="22" fillId="0" borderId="12" xfId="0" applyFont="1" applyFill="1" applyBorder="1"/>
    <xf numFmtId="0" fontId="25" fillId="0" borderId="12" xfId="0" applyFont="1" applyFill="1" applyBorder="1"/>
    <xf numFmtId="0" fontId="13" fillId="0" borderId="12" xfId="0" applyFont="1" applyFill="1" applyBorder="1"/>
    <xf numFmtId="0" fontId="2" fillId="0" borderId="12" xfId="0" applyFont="1" applyFill="1" applyBorder="1" applyAlignment="1">
      <alignment horizontal="center"/>
    </xf>
    <xf numFmtId="0" fontId="2" fillId="0" borderId="12" xfId="0" applyFont="1" applyBorder="1"/>
    <xf numFmtId="0" fontId="5" fillId="0" borderId="10" xfId="0" applyFont="1" applyFill="1" applyBorder="1"/>
    <xf numFmtId="0" fontId="12" fillId="0" borderId="10" xfId="0" applyFont="1" applyBorder="1"/>
    <xf numFmtId="0" fontId="5" fillId="0" borderId="10" xfId="0" applyFont="1" applyBorder="1"/>
    <xf numFmtId="0" fontId="9" fillId="0" borderId="10" xfId="0" applyFont="1" applyFill="1" applyBorder="1"/>
    <xf numFmtId="0" fontId="9" fillId="0" borderId="10" xfId="0" applyFont="1" applyBorder="1"/>
    <xf numFmtId="17" fontId="22" fillId="0" borderId="10" xfId="0" applyNumberFormat="1" applyFont="1" applyFill="1" applyBorder="1"/>
    <xf numFmtId="0" fontId="22" fillId="0" borderId="10" xfId="0" applyFont="1" applyFill="1" applyBorder="1"/>
    <xf numFmtId="0" fontId="26" fillId="0" borderId="10" xfId="0" applyFont="1" applyFill="1" applyBorder="1"/>
    <xf numFmtId="0" fontId="2" fillId="0" borderId="10" xfId="0" applyFont="1" applyFill="1" applyBorder="1" applyAlignment="1">
      <alignment horizontal="center"/>
    </xf>
    <xf numFmtId="16" fontId="5" fillId="0" borderId="10" xfId="0" quotePrefix="1" applyNumberFormat="1" applyFont="1" applyBorder="1"/>
    <xf numFmtId="0" fontId="9" fillId="0" borderId="10" xfId="0" applyFont="1" applyBorder="1" applyAlignment="1">
      <alignment horizontal="left"/>
    </xf>
    <xf numFmtId="0" fontId="19" fillId="0" borderId="10" xfId="0" applyFont="1" applyFill="1" applyBorder="1" applyAlignment="1">
      <alignment horizontal="left"/>
    </xf>
    <xf numFmtId="0" fontId="7" fillId="0" borderId="10" xfId="0" applyFont="1" applyFill="1" applyBorder="1"/>
    <xf numFmtId="0" fontId="7" fillId="0" borderId="10" xfId="0" applyFont="1" applyBorder="1"/>
    <xf numFmtId="17" fontId="18" fillId="0" borderId="10" xfId="0" applyNumberFormat="1" applyFont="1" applyFill="1" applyBorder="1"/>
    <xf numFmtId="0" fontId="18" fillId="0" borderId="10" xfId="0" applyFont="1" applyFill="1" applyBorder="1"/>
    <xf numFmtId="0" fontId="25" fillId="0" borderId="10" xfId="0" applyFont="1" applyFill="1" applyBorder="1"/>
    <xf numFmtId="0" fontId="9" fillId="0" borderId="10" xfId="0" applyFont="1" applyBorder="1" applyAlignment="1"/>
    <xf numFmtId="0" fontId="2" fillId="0" borderId="10" xfId="0" applyFont="1" applyBorder="1"/>
    <xf numFmtId="0" fontId="11" fillId="0" borderId="10" xfId="0" applyFont="1" applyBorder="1"/>
    <xf numFmtId="0" fontId="14" fillId="0" borderId="10" xfId="0" applyFont="1" applyFill="1" applyBorder="1"/>
    <xf numFmtId="0" fontId="17" fillId="0" borderId="10" xfId="0" applyFont="1" applyFill="1" applyBorder="1" applyAlignment="1">
      <alignment horizontal="left"/>
    </xf>
    <xf numFmtId="0" fontId="14" fillId="0" borderId="10" xfId="0" applyFont="1" applyBorder="1"/>
    <xf numFmtId="0" fontId="19" fillId="0" borderId="10" xfId="0" applyFont="1" applyFill="1" applyBorder="1"/>
    <xf numFmtId="0" fontId="11" fillId="0" borderId="10" xfId="0" applyFont="1" applyFill="1" applyBorder="1"/>
    <xf numFmtId="0" fontId="24" fillId="0" borderId="10" xfId="0" applyFont="1" applyFill="1" applyBorder="1"/>
    <xf numFmtId="0" fontId="23" fillId="0" borderId="10" xfId="0" applyFont="1" applyFill="1" applyBorder="1"/>
    <xf numFmtId="0" fontId="16" fillId="0" borderId="10" xfId="0" applyFont="1" applyFill="1" applyBorder="1"/>
    <xf numFmtId="0" fontId="9" fillId="0" borderId="15" xfId="0" applyFont="1" applyFill="1" applyBorder="1"/>
    <xf numFmtId="0" fontId="9" fillId="0" borderId="15" xfId="0" applyFont="1" applyBorder="1"/>
    <xf numFmtId="0" fontId="5" fillId="0" borderId="15" xfId="0" applyFont="1" applyBorder="1"/>
    <xf numFmtId="0" fontId="2" fillId="0" borderId="15" xfId="0" applyFont="1" applyBorder="1"/>
    <xf numFmtId="0" fontId="7" fillId="0" borderId="15" xfId="0" applyFont="1" applyBorder="1"/>
    <xf numFmtId="0" fontId="26" fillId="0" borderId="15" xfId="0" applyFont="1" applyFill="1" applyBorder="1"/>
    <xf numFmtId="0" fontId="25" fillId="0" borderId="15" xfId="0" applyFont="1" applyFill="1" applyBorder="1"/>
    <xf numFmtId="0" fontId="2" fillId="0" borderId="15" xfId="0" applyFont="1" applyFill="1" applyBorder="1" applyAlignment="1">
      <alignment horizontal="center"/>
    </xf>
    <xf numFmtId="0" fontId="13" fillId="0" borderId="20" xfId="0" applyFont="1" applyFill="1" applyBorder="1"/>
    <xf numFmtId="0" fontId="27" fillId="0" borderId="7" xfId="0" applyFont="1" applyFill="1" applyBorder="1"/>
    <xf numFmtId="0" fontId="26" fillId="0" borderId="7" xfId="0" applyFont="1" applyFill="1" applyBorder="1"/>
    <xf numFmtId="0" fontId="23" fillId="0" borderId="7" xfId="0" applyFont="1" applyFill="1" applyBorder="1"/>
    <xf numFmtId="0" fontId="17" fillId="0" borderId="21" xfId="0" applyFont="1" applyFill="1" applyBorder="1"/>
    <xf numFmtId="0" fontId="13" fillId="0" borderId="22" xfId="0" applyFont="1" applyFill="1" applyBorder="1"/>
    <xf numFmtId="0" fontId="26" fillId="0" borderId="23" xfId="0" applyFont="1" applyFill="1" applyBorder="1"/>
    <xf numFmtId="0" fontId="22" fillId="0" borderId="23" xfId="0" applyFont="1" applyFill="1" applyBorder="1"/>
    <xf numFmtId="0" fontId="26" fillId="0" borderId="24" xfId="0" applyFont="1" applyFill="1" applyBorder="1"/>
    <xf numFmtId="0" fontId="9" fillId="0" borderId="23" xfId="0" applyFont="1" applyFill="1" applyBorder="1"/>
    <xf numFmtId="0" fontId="9" fillId="0" borderId="20" xfId="0" applyFont="1" applyFill="1" applyBorder="1"/>
    <xf numFmtId="0" fontId="9" fillId="0" borderId="7" xfId="0" applyFont="1" applyFill="1" applyBorder="1"/>
    <xf numFmtId="0" fontId="21" fillId="0" borderId="7" xfId="0" applyFont="1" applyFill="1" applyBorder="1" applyAlignment="1">
      <alignment horizontal="left"/>
    </xf>
    <xf numFmtId="0" fontId="11" fillId="0" borderId="21" xfId="0" applyFont="1" applyFill="1" applyBorder="1"/>
    <xf numFmtId="0" fontId="7" fillId="0" borderId="23" xfId="0" applyFont="1" applyFill="1" applyBorder="1"/>
    <xf numFmtId="0" fontId="7" fillId="6" borderId="2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/>
    </xf>
    <xf numFmtId="0" fontId="0" fillId="0" borderId="13" xfId="0" applyBorder="1" applyAlignment="1"/>
    <xf numFmtId="0" fontId="0" fillId="0" borderId="19" xfId="0" applyBorder="1" applyAlignment="1"/>
    <xf numFmtId="164" fontId="0" fillId="0" borderId="0" xfId="0" applyNumberFormat="1"/>
    <xf numFmtId="165" fontId="0" fillId="0" borderId="0" xfId="0" applyNumberFormat="1"/>
    <xf numFmtId="164" fontId="6" fillId="8" borderId="25" xfId="0" applyNumberFormat="1" applyFont="1" applyFill="1" applyBorder="1"/>
    <xf numFmtId="164" fontId="6" fillId="10" borderId="25" xfId="0" applyNumberFormat="1" applyFont="1" applyFill="1" applyBorder="1"/>
    <xf numFmtId="165" fontId="6" fillId="8" borderId="25" xfId="0" applyNumberFormat="1" applyFont="1" applyFill="1" applyBorder="1" applyAlignment="1">
      <alignment horizontal="center"/>
    </xf>
    <xf numFmtId="0" fontId="7" fillId="7" borderId="3" xfId="0" applyFont="1" applyFill="1" applyBorder="1" applyAlignment="1">
      <alignment horizontal="left"/>
    </xf>
    <xf numFmtId="164" fontId="6" fillId="11" borderId="25" xfId="0" applyNumberFormat="1" applyFont="1" applyFill="1" applyBorder="1"/>
    <xf numFmtId="165" fontId="6" fillId="11" borderId="25" xfId="0" applyNumberFormat="1" applyFont="1" applyFill="1" applyBorder="1" applyAlignment="1">
      <alignment horizontal="center"/>
    </xf>
    <xf numFmtId="165" fontId="6" fillId="10" borderId="25" xfId="0" applyNumberFormat="1" applyFont="1" applyFill="1" applyBorder="1" applyAlignment="1">
      <alignment horizontal="left"/>
    </xf>
    <xf numFmtId="0" fontId="7" fillId="6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34" fillId="0" borderId="13" xfId="0" applyFont="1" applyBorder="1" applyAlignment="1"/>
    <xf numFmtId="0" fontId="34" fillId="0" borderId="0" xfId="0" applyFont="1" applyBorder="1" applyAlignment="1"/>
    <xf numFmtId="0" fontId="9" fillId="8" borderId="11" xfId="0" applyFont="1" applyFill="1" applyBorder="1"/>
    <xf numFmtId="0" fontId="9" fillId="10" borderId="11" xfId="0" applyFont="1" applyFill="1" applyBorder="1"/>
    <xf numFmtId="0" fontId="0" fillId="0" borderId="0" xfId="0" applyBorder="1"/>
    <xf numFmtId="0" fontId="6" fillId="0" borderId="13" xfId="1" applyBorder="1" applyAlignment="1"/>
    <xf numFmtId="0" fontId="6" fillId="0" borderId="0" xfId="1"/>
    <xf numFmtId="0" fontId="4" fillId="0" borderId="0" xfId="1" applyFont="1" applyAlignment="1">
      <alignment horizontal="center"/>
    </xf>
    <xf numFmtId="0" fontId="6" fillId="0" borderId="0" xfId="1" applyAlignment="1">
      <alignment horizontal="center"/>
    </xf>
    <xf numFmtId="0" fontId="6" fillId="0" borderId="19" xfId="1" applyBorder="1" applyAlignment="1"/>
    <xf numFmtId="0" fontId="7" fillId="4" borderId="30" xfId="1" applyFont="1" applyFill="1" applyBorder="1"/>
    <xf numFmtId="0" fontId="7" fillId="2" borderId="30" xfId="1" applyFont="1" applyFill="1" applyBorder="1"/>
    <xf numFmtId="0" fontId="7" fillId="3" borderId="29" xfId="1" applyFont="1" applyFill="1" applyBorder="1"/>
    <xf numFmtId="0" fontId="7" fillId="3" borderId="30" xfId="1" applyFont="1" applyFill="1" applyBorder="1"/>
    <xf numFmtId="0" fontId="4" fillId="3" borderId="30" xfId="1" applyFont="1" applyFill="1" applyBorder="1" applyAlignment="1">
      <alignment horizontal="center"/>
    </xf>
    <xf numFmtId="0" fontId="7" fillId="3" borderId="30" xfId="1" applyFont="1" applyFill="1" applyBorder="1" applyAlignment="1">
      <alignment horizontal="center"/>
    </xf>
    <xf numFmtId="0" fontId="7" fillId="3" borderId="30" xfId="1" applyFont="1" applyFill="1" applyBorder="1" applyAlignment="1">
      <alignment horizontal="left"/>
    </xf>
    <xf numFmtId="0" fontId="7" fillId="0" borderId="0" xfId="1" applyFont="1" applyBorder="1"/>
    <xf numFmtId="0" fontId="6" fillId="0" borderId="0" xfId="1" applyFont="1" applyFill="1" applyBorder="1"/>
    <xf numFmtId="0" fontId="6" fillId="0" borderId="0" xfId="1" applyFont="1"/>
    <xf numFmtId="0" fontId="7" fillId="0" borderId="0" xfId="1" applyFont="1" applyFill="1" applyBorder="1"/>
    <xf numFmtId="0" fontId="4" fillId="0" borderId="30" xfId="1" applyFont="1" applyBorder="1"/>
    <xf numFmtId="0" fontId="6" fillId="0" borderId="30" xfId="1" applyFont="1" applyBorder="1"/>
    <xf numFmtId="0" fontId="6" fillId="0" borderId="30" xfId="1" applyFont="1" applyBorder="1" applyAlignment="1">
      <alignment horizontal="center"/>
    </xf>
    <xf numFmtId="0" fontId="7" fillId="0" borderId="6" xfId="1" applyFont="1" applyBorder="1"/>
    <xf numFmtId="0" fontId="7" fillId="0" borderId="6" xfId="1" applyFont="1" applyFill="1" applyBorder="1"/>
    <xf numFmtId="0" fontId="3" fillId="0" borderId="6" xfId="1" applyFont="1" applyFill="1" applyBorder="1" applyAlignment="1">
      <alignment horizontal="center" vertical="center"/>
    </xf>
    <xf numFmtId="0" fontId="4" fillId="0" borderId="0" xfId="1" applyFont="1" applyBorder="1"/>
    <xf numFmtId="0" fontId="4" fillId="0" borderId="0" xfId="1" applyFont="1"/>
    <xf numFmtId="0" fontId="2" fillId="0" borderId="12" xfId="1" applyFont="1" applyFill="1" applyBorder="1" applyAlignment="1">
      <alignment horizontal="center"/>
    </xf>
    <xf numFmtId="0" fontId="5" fillId="0" borderId="0" xfId="1" applyFont="1" applyBorder="1"/>
    <xf numFmtId="0" fontId="9" fillId="0" borderId="0" xfId="1" applyFont="1" applyBorder="1"/>
    <xf numFmtId="0" fontId="2" fillId="0" borderId="0" xfId="1" applyFont="1"/>
    <xf numFmtId="0" fontId="26" fillId="0" borderId="0" xfId="1" applyFont="1" applyFill="1"/>
    <xf numFmtId="0" fontId="24" fillId="0" borderId="0" xfId="1" applyFont="1" applyFill="1"/>
    <xf numFmtId="0" fontId="2" fillId="0" borderId="30" xfId="1" applyFont="1" applyFill="1" applyBorder="1" applyAlignment="1">
      <alignment horizontal="center"/>
    </xf>
    <xf numFmtId="0" fontId="28" fillId="0" borderId="0" xfId="1" quotePrefix="1" applyFont="1" applyFill="1"/>
    <xf numFmtId="0" fontId="28" fillId="0" borderId="0" xfId="1" applyFont="1" applyFill="1"/>
    <xf numFmtId="0" fontId="7" fillId="0" borderId="30" xfId="1" applyFont="1" applyBorder="1"/>
    <xf numFmtId="0" fontId="2" fillId="0" borderId="0" xfId="1" applyFont="1" applyBorder="1"/>
    <xf numFmtId="0" fontId="22" fillId="0" borderId="0" xfId="1" applyFont="1" applyFill="1"/>
    <xf numFmtId="0" fontId="2" fillId="0" borderId="15" xfId="1" applyFont="1" applyFill="1" applyBorder="1" applyAlignment="1">
      <alignment horizontal="center"/>
    </xf>
    <xf numFmtId="0" fontId="32" fillId="0" borderId="0" xfId="1" applyFont="1" applyFill="1"/>
    <xf numFmtId="0" fontId="9" fillId="0" borderId="3" xfId="1" applyFont="1" applyFill="1" applyBorder="1"/>
    <xf numFmtId="0" fontId="9" fillId="0" borderId="0" xfId="1" applyFont="1" applyFill="1" applyBorder="1"/>
    <xf numFmtId="0" fontId="1" fillId="0" borderId="3" xfId="1" applyFont="1" applyFill="1" applyBorder="1"/>
    <xf numFmtId="0" fontId="2" fillId="0" borderId="3" xfId="1" applyFont="1" applyFill="1" applyBorder="1"/>
    <xf numFmtId="0" fontId="15" fillId="0" borderId="0" xfId="1" applyFont="1" applyAlignment="1">
      <alignment vertical="center"/>
    </xf>
    <xf numFmtId="0" fontId="27" fillId="0" borderId="3" xfId="1" applyFont="1" applyFill="1" applyBorder="1"/>
    <xf numFmtId="0" fontId="26" fillId="0" borderId="0" xfId="1" applyFont="1" applyFill="1" applyBorder="1"/>
    <xf numFmtId="0" fontId="26" fillId="0" borderId="3" xfId="1" applyFont="1" applyFill="1" applyBorder="1"/>
    <xf numFmtId="0" fontId="22" fillId="0" borderId="3" xfId="1" applyFont="1" applyFill="1" applyBorder="1"/>
    <xf numFmtId="0" fontId="22" fillId="0" borderId="0" xfId="1" applyFont="1" applyFill="1" applyBorder="1"/>
    <xf numFmtId="0" fontId="2" fillId="0" borderId="16" xfId="1" applyFont="1" applyFill="1" applyBorder="1"/>
    <xf numFmtId="0" fontId="9" fillId="0" borderId="19" xfId="1" applyFont="1" applyFill="1" applyBorder="1"/>
    <xf numFmtId="0" fontId="5" fillId="0" borderId="16" xfId="1" applyFont="1" applyFill="1" applyBorder="1"/>
    <xf numFmtId="0" fontId="2" fillId="0" borderId="0" xfId="1" applyFont="1" applyFill="1" applyBorder="1"/>
    <xf numFmtId="0" fontId="28" fillId="0" borderId="0" xfId="1" applyFont="1" applyFill="1" applyBorder="1"/>
    <xf numFmtId="0" fontId="9" fillId="0" borderId="4" xfId="1" applyFont="1" applyFill="1" applyBorder="1"/>
    <xf numFmtId="0" fontId="26" fillId="0" borderId="4" xfId="1" applyFont="1" applyFill="1" applyBorder="1"/>
    <xf numFmtId="0" fontId="32" fillId="0" borderId="0" xfId="1" applyFont="1" applyFill="1" applyBorder="1" applyAlignment="1">
      <alignment vertical="center" wrapText="1"/>
    </xf>
    <xf numFmtId="0" fontId="28" fillId="0" borderId="0" xfId="1" applyFont="1" applyFill="1" applyBorder="1" applyAlignment="1">
      <alignment vertical="center" wrapText="1"/>
    </xf>
    <xf numFmtId="22" fontId="28" fillId="0" borderId="0" xfId="1" applyNumberFormat="1" applyFont="1" applyFill="1" applyBorder="1" applyAlignment="1">
      <alignment vertical="center" wrapText="1"/>
    </xf>
    <xf numFmtId="0" fontId="9" fillId="0" borderId="16" xfId="1" applyFont="1" applyFill="1" applyBorder="1"/>
    <xf numFmtId="0" fontId="29" fillId="0" borderId="0" xfId="1" applyFont="1" applyFill="1" applyBorder="1"/>
    <xf numFmtId="0" fontId="30" fillId="0" borderId="0" xfId="1" applyFont="1" applyFill="1" applyBorder="1"/>
    <xf numFmtId="0" fontId="30" fillId="0" borderId="0" xfId="1" applyFont="1" applyFill="1"/>
    <xf numFmtId="0" fontId="23" fillId="0" borderId="0" xfId="1" applyFont="1" applyFill="1" applyBorder="1"/>
    <xf numFmtId="0" fontId="8" fillId="0" borderId="12" xfId="1" applyFont="1" applyFill="1" applyBorder="1" applyAlignment="1">
      <alignment horizontal="center"/>
    </xf>
    <xf numFmtId="0" fontId="12" fillId="0" borderId="0" xfId="1" applyFont="1"/>
    <xf numFmtId="0" fontId="7" fillId="0" borderId="11" xfId="1" applyFont="1" applyBorder="1"/>
    <xf numFmtId="0" fontId="7" fillId="0" borderId="11" xfId="1" applyFont="1" applyFill="1" applyBorder="1" applyAlignment="1">
      <alignment horizontal="center"/>
    </xf>
    <xf numFmtId="0" fontId="3" fillId="0" borderId="11" xfId="1" applyFont="1" applyFill="1" applyBorder="1" applyAlignment="1">
      <alignment horizontal="center" vertical="center" wrapText="1"/>
    </xf>
    <xf numFmtId="0" fontId="9" fillId="8" borderId="30" xfId="1" applyFont="1" applyFill="1" applyBorder="1" applyAlignment="1">
      <alignment horizontal="center"/>
    </xf>
    <xf numFmtId="0" fontId="9" fillId="8" borderId="8" xfId="1" applyFont="1" applyFill="1" applyBorder="1" applyAlignment="1"/>
    <xf numFmtId="0" fontId="9" fillId="8" borderId="29" xfId="1" applyFont="1" applyFill="1" applyBorder="1" applyAlignment="1"/>
    <xf numFmtId="0" fontId="7" fillId="0" borderId="30" xfId="1" applyFont="1" applyFill="1" applyBorder="1" applyAlignment="1">
      <alignment horizontal="center"/>
    </xf>
    <xf numFmtId="0" fontId="7" fillId="0" borderId="0" xfId="1" applyFont="1"/>
    <xf numFmtId="0" fontId="3" fillId="6" borderId="1" xfId="0" applyFont="1" applyFill="1" applyBorder="1" applyAlignment="1">
      <alignment horizontal="center"/>
    </xf>
    <xf numFmtId="14" fontId="0" fillId="0" borderId="0" xfId="0" applyNumberFormat="1"/>
    <xf numFmtId="21" fontId="0" fillId="0" borderId="0" xfId="0" applyNumberFormat="1"/>
    <xf numFmtId="0" fontId="7" fillId="9" borderId="3" xfId="0" applyFont="1" applyFill="1" applyBorder="1" applyAlignment="1">
      <alignment horizontal="center"/>
    </xf>
    <xf numFmtId="0" fontId="0" fillId="9" borderId="0" xfId="0" applyFill="1"/>
    <xf numFmtId="0" fontId="9" fillId="0" borderId="34" xfId="0" applyFont="1" applyBorder="1"/>
    <xf numFmtId="0" fontId="2" fillId="0" borderId="34" xfId="0" applyFont="1" applyBorder="1"/>
    <xf numFmtId="16" fontId="5" fillId="0" borderId="34" xfId="0" quotePrefix="1" applyNumberFormat="1" applyFont="1" applyBorder="1"/>
    <xf numFmtId="0" fontId="5" fillId="0" borderId="34" xfId="0" applyFont="1" applyBorder="1"/>
    <xf numFmtId="0" fontId="9" fillId="0" borderId="11" xfId="0" applyFont="1" applyBorder="1"/>
    <xf numFmtId="0" fontId="2" fillId="0" borderId="11" xfId="0" applyFont="1" applyBorder="1"/>
    <xf numFmtId="0" fontId="6" fillId="9" borderId="0" xfId="0" applyFont="1" applyFill="1"/>
    <xf numFmtId="0" fontId="14" fillId="0" borderId="0" xfId="1" applyFont="1" applyFill="1" applyBorder="1"/>
    <xf numFmtId="0" fontId="11" fillId="0" borderId="0" xfId="1" applyFont="1" applyFill="1" applyBorder="1"/>
    <xf numFmtId="0" fontId="5" fillId="0" borderId="19" xfId="1" applyFont="1" applyFill="1" applyBorder="1"/>
    <xf numFmtId="0" fontId="11" fillId="0" borderId="19" xfId="1" applyFont="1" applyFill="1" applyBorder="1"/>
    <xf numFmtId="0" fontId="14" fillId="0" borderId="3" xfId="1" applyFont="1" applyFill="1" applyBorder="1"/>
    <xf numFmtId="0" fontId="16" fillId="0" borderId="4" xfId="1" applyFont="1" applyFill="1" applyBorder="1"/>
    <xf numFmtId="0" fontId="22" fillId="0" borderId="4" xfId="1" applyFont="1" applyFill="1" applyBorder="1"/>
    <xf numFmtId="0" fontId="2" fillId="0" borderId="17" xfId="1" applyFont="1" applyFill="1" applyBorder="1"/>
    <xf numFmtId="0" fontId="14" fillId="0" borderId="4" xfId="1" applyFont="1" applyFill="1" applyBorder="1"/>
    <xf numFmtId="0" fontId="2" fillId="0" borderId="16" xfId="1" applyFont="1" applyBorder="1"/>
    <xf numFmtId="0" fontId="27" fillId="0" borderId="4" xfId="1" applyFont="1" applyFill="1" applyBorder="1"/>
    <xf numFmtId="0" fontId="9" fillId="0" borderId="17" xfId="1" applyFont="1" applyFill="1" applyBorder="1"/>
    <xf numFmtId="0" fontId="13" fillId="0" borderId="3" xfId="1" applyFont="1" applyFill="1" applyBorder="1"/>
    <xf numFmtId="0" fontId="31" fillId="0" borderId="4" xfId="1" applyFont="1" applyFill="1" applyBorder="1" applyAlignment="1">
      <alignment horizontal="center" vertical="center"/>
    </xf>
    <xf numFmtId="0" fontId="11" fillId="0" borderId="16" xfId="1" applyFont="1" applyFill="1" applyBorder="1"/>
    <xf numFmtId="0" fontId="23" fillId="0" borderId="4" xfId="1" applyFont="1" applyFill="1" applyBorder="1"/>
    <xf numFmtId="0" fontId="21" fillId="0" borderId="0" xfId="1" applyFont="1" applyFill="1" applyBorder="1" applyAlignment="1">
      <alignment horizontal="left"/>
    </xf>
    <xf numFmtId="0" fontId="9" fillId="0" borderId="36" xfId="1" applyFont="1" applyFill="1" applyBorder="1"/>
    <xf numFmtId="0" fontId="16" fillId="0" borderId="36" xfId="1" applyFont="1" applyFill="1" applyBorder="1"/>
    <xf numFmtId="0" fontId="26" fillId="0" borderId="36" xfId="1" applyFont="1" applyFill="1" applyBorder="1"/>
    <xf numFmtId="0" fontId="22" fillId="0" borderId="36" xfId="1" applyFont="1" applyFill="1" applyBorder="1"/>
    <xf numFmtId="0" fontId="2" fillId="0" borderId="37" xfId="1" applyFont="1" applyFill="1" applyBorder="1"/>
    <xf numFmtId="0" fontId="11" fillId="0" borderId="38" xfId="1" applyFont="1" applyFill="1" applyBorder="1"/>
    <xf numFmtId="0" fontId="10" fillId="0" borderId="0" xfId="1" applyFont="1" applyFill="1" applyBorder="1"/>
    <xf numFmtId="0" fontId="20" fillId="0" borderId="0" xfId="1" applyFont="1" applyFill="1" applyBorder="1"/>
    <xf numFmtId="0" fontId="6" fillId="0" borderId="19" xfId="1" applyFont="1" applyFill="1" applyBorder="1"/>
    <xf numFmtId="0" fontId="9" fillId="0" borderId="36" xfId="1" applyFont="1" applyFill="1" applyBorder="1" applyAlignment="1">
      <alignment vertical="top"/>
    </xf>
    <xf numFmtId="0" fontId="17" fillId="0" borderId="36" xfId="1" applyFont="1" applyFill="1" applyBorder="1" applyAlignment="1">
      <alignment vertical="top"/>
    </xf>
    <xf numFmtId="0" fontId="2" fillId="0" borderId="36" xfId="1" applyFont="1" applyFill="1" applyBorder="1"/>
    <xf numFmtId="0" fontId="9" fillId="0" borderId="37" xfId="1" applyFont="1" applyFill="1" applyBorder="1"/>
    <xf numFmtId="49" fontId="0" fillId="0" borderId="0" xfId="0" applyNumberFormat="1"/>
    <xf numFmtId="49" fontId="7" fillId="6" borderId="1" xfId="0" applyNumberFormat="1" applyFont="1" applyFill="1" applyBorder="1" applyAlignment="1">
      <alignment horizontal="center"/>
    </xf>
    <xf numFmtId="49" fontId="6" fillId="0" borderId="0" xfId="1" applyNumberFormat="1"/>
    <xf numFmtId="49" fontId="7" fillId="3" borderId="30" xfId="1" applyNumberFormat="1" applyFont="1" applyFill="1" applyBorder="1"/>
    <xf numFmtId="49" fontId="7" fillId="0" borderId="6" xfId="1" applyNumberFormat="1" applyFont="1" applyBorder="1"/>
    <xf numFmtId="49" fontId="9" fillId="0" borderId="4" xfId="1" applyNumberFormat="1" applyFont="1" applyFill="1" applyBorder="1"/>
    <xf numFmtId="49" fontId="16" fillId="0" borderId="4" xfId="1" applyNumberFormat="1" applyFont="1" applyFill="1" applyBorder="1"/>
    <xf numFmtId="49" fontId="26" fillId="0" borderId="4" xfId="1" applyNumberFormat="1" applyFont="1" applyFill="1" applyBorder="1"/>
    <xf numFmtId="49" fontId="22" fillId="0" borderId="4" xfId="1" applyNumberFormat="1" applyFont="1" applyFill="1" applyBorder="1"/>
    <xf numFmtId="49" fontId="2" fillId="0" borderId="17" xfId="1" applyNumberFormat="1" applyFont="1" applyFill="1" applyBorder="1"/>
    <xf numFmtId="49" fontId="7" fillId="0" borderId="11" xfId="1" applyNumberFormat="1" applyFont="1" applyBorder="1"/>
    <xf numFmtId="49" fontId="9" fillId="8" borderId="29" xfId="1" applyNumberFormat="1" applyFont="1" applyFill="1" applyBorder="1" applyAlignment="1"/>
    <xf numFmtId="0" fontId="3" fillId="6" borderId="39" xfId="0" applyFont="1" applyFill="1" applyBorder="1" applyAlignment="1">
      <alignment horizontal="center"/>
    </xf>
    <xf numFmtId="49" fontId="7" fillId="6" borderId="39" xfId="0" applyNumberFormat="1" applyFont="1" applyFill="1" applyBorder="1" applyAlignment="1">
      <alignment horizontal="center"/>
    </xf>
    <xf numFmtId="0" fontId="7" fillId="7" borderId="39" xfId="0" applyFont="1" applyFill="1" applyBorder="1" applyAlignment="1">
      <alignment horizontal="left"/>
    </xf>
    <xf numFmtId="0" fontId="7" fillId="7" borderId="39" xfId="0" applyFont="1" applyFill="1" applyBorder="1"/>
    <xf numFmtId="0" fontId="7" fillId="6" borderId="28" xfId="0" applyFont="1" applyFill="1" applyBorder="1" applyAlignment="1"/>
    <xf numFmtId="0" fontId="7" fillId="6" borderId="29" xfId="0" applyFont="1" applyFill="1" applyBorder="1" applyAlignment="1"/>
    <xf numFmtId="0" fontId="0" fillId="0" borderId="0" xfId="0" applyAlignment="1">
      <alignment wrapText="1"/>
    </xf>
    <xf numFmtId="0" fontId="36" fillId="12" borderId="0" xfId="0" applyFont="1" applyFill="1" applyAlignment="1">
      <alignment wrapText="1"/>
    </xf>
    <xf numFmtId="0" fontId="35" fillId="12" borderId="0" xfId="0" applyFont="1" applyFill="1" applyAlignment="1">
      <alignment wrapText="1"/>
    </xf>
    <xf numFmtId="0" fontId="0" fillId="0" borderId="0" xfId="0" applyAlignment="1">
      <alignment wrapText="1"/>
    </xf>
    <xf numFmtId="0" fontId="36" fillId="12" borderId="0" xfId="0" applyFont="1" applyFill="1" applyAlignment="1">
      <alignment wrapText="1"/>
    </xf>
    <xf numFmtId="0" fontId="35" fillId="12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34" fillId="0" borderId="26" xfId="1" applyFont="1" applyBorder="1" applyAlignment="1">
      <alignment horizontal="center"/>
    </xf>
    <xf numFmtId="0" fontId="34" fillId="0" borderId="27" xfId="1" applyFont="1" applyBorder="1" applyAlignment="1">
      <alignment horizontal="center"/>
    </xf>
    <xf numFmtId="0" fontId="34" fillId="0" borderId="14" xfId="1" applyFont="1" applyBorder="1" applyAlignment="1">
      <alignment horizontal="center"/>
    </xf>
    <xf numFmtId="0" fontId="34" fillId="0" borderId="18" xfId="1" applyFont="1" applyBorder="1" applyAlignment="1">
      <alignment horizontal="center"/>
    </xf>
    <xf numFmtId="0" fontId="34" fillId="0" borderId="13" xfId="1" applyFont="1" applyBorder="1" applyAlignment="1">
      <alignment horizontal="center"/>
    </xf>
    <xf numFmtId="0" fontId="34" fillId="0" borderId="19" xfId="1" applyFont="1" applyBorder="1" applyAlignment="1">
      <alignment horizontal="center"/>
    </xf>
    <xf numFmtId="0" fontId="8" fillId="5" borderId="12" xfId="1" applyFont="1" applyFill="1" applyBorder="1" applyAlignment="1">
      <alignment horizontal="center" vertical="center" wrapText="1"/>
    </xf>
    <xf numFmtId="0" fontId="8" fillId="5" borderId="30" xfId="1" applyFont="1" applyFill="1" applyBorder="1" applyAlignment="1">
      <alignment horizontal="center" vertical="center" wrapText="1"/>
    </xf>
    <xf numFmtId="0" fontId="8" fillId="5" borderId="15" xfId="1" applyFont="1" applyFill="1" applyBorder="1" applyAlignment="1">
      <alignment horizontal="center" vertical="center" wrapText="1"/>
    </xf>
    <xf numFmtId="0" fontId="3" fillId="0" borderId="12" xfId="1" applyFont="1" applyFill="1" applyBorder="1" applyAlignment="1">
      <alignment horizontal="center" vertical="center" wrapText="1"/>
    </xf>
    <xf numFmtId="0" fontId="3" fillId="0" borderId="30" xfId="1" applyFont="1" applyFill="1" applyBorder="1" applyAlignment="1">
      <alignment horizontal="center" vertical="center" wrapText="1"/>
    </xf>
    <xf numFmtId="0" fontId="3" fillId="0" borderId="6" xfId="1" applyFont="1" applyFill="1" applyBorder="1" applyAlignment="1">
      <alignment horizontal="center" vertical="center" wrapText="1"/>
    </xf>
    <xf numFmtId="0" fontId="2" fillId="5" borderId="12" xfId="1" applyFont="1" applyFill="1" applyBorder="1" applyAlignment="1">
      <alignment horizontal="center" vertical="center" wrapText="1"/>
    </xf>
    <xf numFmtId="0" fontId="2" fillId="5" borderId="30" xfId="1" applyFont="1" applyFill="1" applyBorder="1" applyAlignment="1">
      <alignment horizontal="center" vertical="center" wrapText="1"/>
    </xf>
    <xf numFmtId="0" fontId="2" fillId="5" borderId="15" xfId="1" applyFont="1" applyFill="1" applyBorder="1" applyAlignment="1">
      <alignment horizontal="center" vertical="center" wrapText="1"/>
    </xf>
    <xf numFmtId="0" fontId="3" fillId="0" borderId="35" xfId="1" applyFont="1" applyFill="1" applyBorder="1" applyAlignment="1">
      <alignment horizontal="center" vertical="center" wrapText="1"/>
    </xf>
    <xf numFmtId="0" fontId="3" fillId="0" borderId="15" xfId="1" applyFont="1" applyFill="1" applyBorder="1" applyAlignment="1">
      <alignment horizontal="center" vertical="center" wrapText="1"/>
    </xf>
    <xf numFmtId="0" fontId="2" fillId="5" borderId="12" xfId="1" applyFont="1" applyFill="1" applyBorder="1" applyAlignment="1">
      <alignment horizontal="center" vertical="center"/>
    </xf>
    <xf numFmtId="0" fontId="2" fillId="5" borderId="30" xfId="1" applyFont="1" applyFill="1" applyBorder="1" applyAlignment="1">
      <alignment horizontal="center" vertical="center"/>
    </xf>
    <xf numFmtId="0" fontId="2" fillId="5" borderId="15" xfId="1" applyFont="1" applyFill="1" applyBorder="1" applyAlignment="1">
      <alignment horizontal="center" vertical="center"/>
    </xf>
    <xf numFmtId="0" fontId="9" fillId="8" borderId="28" xfId="1" applyFont="1" applyFill="1" applyBorder="1" applyAlignment="1">
      <alignment horizontal="left"/>
    </xf>
    <xf numFmtId="0" fontId="9" fillId="8" borderId="8" xfId="1" applyFont="1" applyFill="1" applyBorder="1" applyAlignment="1">
      <alignment horizontal="left"/>
    </xf>
    <xf numFmtId="0" fontId="9" fillId="8" borderId="28" xfId="1" applyFont="1" applyFill="1" applyBorder="1" applyAlignment="1">
      <alignment horizontal="center"/>
    </xf>
    <xf numFmtId="0" fontId="9" fillId="8" borderId="8" xfId="1" applyFont="1" applyFill="1" applyBorder="1" applyAlignment="1">
      <alignment horizontal="center"/>
    </xf>
    <xf numFmtId="0" fontId="9" fillId="8" borderId="29" xfId="1" applyFont="1" applyFill="1" applyBorder="1" applyAlignment="1">
      <alignment horizontal="center"/>
    </xf>
    <xf numFmtId="22" fontId="9" fillId="8" borderId="28" xfId="1" applyNumberFormat="1" applyFont="1" applyFill="1" applyBorder="1" applyAlignment="1">
      <alignment horizontal="left"/>
    </xf>
    <xf numFmtId="22" fontId="9" fillId="8" borderId="8" xfId="1" applyNumberFormat="1" applyFont="1" applyFill="1" applyBorder="1" applyAlignment="1">
      <alignment horizontal="left"/>
    </xf>
    <xf numFmtId="0" fontId="3" fillId="0" borderId="11" xfId="1" applyFont="1" applyFill="1" applyBorder="1" applyAlignment="1">
      <alignment horizontal="center" vertical="center" wrapText="1"/>
    </xf>
    <xf numFmtId="0" fontId="7" fillId="6" borderId="39" xfId="0" applyFont="1" applyFill="1" applyBorder="1" applyAlignment="1">
      <alignment horizontal="center"/>
    </xf>
    <xf numFmtId="0" fontId="3" fillId="6" borderId="39" xfId="0" applyFont="1" applyFill="1" applyBorder="1" applyAlignment="1">
      <alignment horizontal="center"/>
    </xf>
    <xf numFmtId="0" fontId="34" fillId="8" borderId="26" xfId="0" applyFont="1" applyFill="1" applyBorder="1" applyAlignment="1">
      <alignment horizontal="center"/>
    </xf>
    <xf numFmtId="0" fontId="34" fillId="8" borderId="13" xfId="0" applyFont="1" applyFill="1" applyBorder="1" applyAlignment="1">
      <alignment horizontal="center"/>
    </xf>
    <xf numFmtId="0" fontId="34" fillId="8" borderId="27" xfId="0" applyFont="1" applyFill="1" applyBorder="1" applyAlignment="1">
      <alignment horizontal="center"/>
    </xf>
    <xf numFmtId="0" fontId="34" fillId="8" borderId="19" xfId="0" applyFont="1" applyFill="1" applyBorder="1" applyAlignment="1">
      <alignment horizontal="center"/>
    </xf>
    <xf numFmtId="0" fontId="34" fillId="10" borderId="13" xfId="0" applyFont="1" applyFill="1" applyBorder="1" applyAlignment="1">
      <alignment horizontal="center"/>
    </xf>
    <xf numFmtId="0" fontId="34" fillId="10" borderId="14" xfId="0" applyFont="1" applyFill="1" applyBorder="1" applyAlignment="1">
      <alignment horizontal="center"/>
    </xf>
    <xf numFmtId="0" fontId="34" fillId="10" borderId="19" xfId="0" applyFont="1" applyFill="1" applyBorder="1" applyAlignment="1">
      <alignment horizontal="center"/>
    </xf>
    <xf numFmtId="0" fontId="34" fillId="10" borderId="18" xfId="0" applyFont="1" applyFill="1" applyBorder="1" applyAlignment="1">
      <alignment horizontal="center"/>
    </xf>
    <xf numFmtId="0" fontId="34" fillId="0" borderId="26" xfId="0" applyFont="1" applyBorder="1" applyAlignment="1">
      <alignment horizontal="center"/>
    </xf>
    <xf numFmtId="0" fontId="34" fillId="0" borderId="27" xfId="0" applyFont="1" applyBorder="1" applyAlignment="1">
      <alignment horizontal="center"/>
    </xf>
    <xf numFmtId="0" fontId="8" fillId="5" borderId="12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0" fontId="8" fillId="5" borderId="15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0" borderId="15" xfId="0" applyFont="1" applyFill="1" applyBorder="1" applyAlignment="1">
      <alignment horizontal="center" vertical="center" wrapText="1"/>
    </xf>
    <xf numFmtId="0" fontId="34" fillId="0" borderId="31" xfId="0" applyFont="1" applyBorder="1" applyAlignment="1">
      <alignment horizontal="left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0" fillId="0" borderId="40" xfId="0" applyBorder="1"/>
    <xf numFmtId="0" fontId="0" fillId="0" borderId="40" xfId="0" applyBorder="1"/>
    <xf numFmtId="0" fontId="0" fillId="0" borderId="40" xfId="0" applyBorder="1" applyAlignment="1">
      <alignment horizontal="left"/>
    </xf>
    <xf numFmtId="0" fontId="0" fillId="0" borderId="40" xfId="0" quotePrefix="1" applyBorder="1" applyAlignment="1">
      <alignment horizontal="left"/>
    </xf>
    <xf numFmtId="0" fontId="0" fillId="0" borderId="40" xfId="0" quotePrefix="1" applyBorder="1" applyAlignment="1">
      <alignment horizontal="left"/>
    </xf>
  </cellXfs>
  <cellStyles count="4">
    <cellStyle name="Normal" xfId="0" builtinId="0"/>
    <cellStyle name="Normal 2" xfId="1"/>
    <cellStyle name="Normal 3" xfId="2"/>
    <cellStyle name="Normal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13606</xdr:colOff>
      <xdr:row>0</xdr:row>
      <xdr:rowOff>149678</xdr:rowOff>
    </xdr:from>
    <xdr:to>
      <xdr:col>14</xdr:col>
      <xdr:colOff>99331</xdr:colOff>
      <xdr:row>2</xdr:row>
      <xdr:rowOff>111578</xdr:rowOff>
    </xdr:to>
    <xdr:sp macro="" textlink="">
      <xdr:nvSpPr>
        <xdr:cNvPr id="2" name="BERTH"/>
        <xdr:cNvSpPr>
          <a:spLocks noChangeArrowheads="1" noChangeShapeType="1" noTextEdit="1"/>
        </xdr:cNvSpPr>
      </xdr:nvSpPr>
      <xdr:spPr bwMode="auto">
        <a:xfrm>
          <a:off x="3890281" y="149678"/>
          <a:ext cx="2076450" cy="285750"/>
        </a:xfrm>
        <a:prstGeom prst="rect">
          <a:avLst/>
        </a:prstGeom>
        <a:extLst/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sz="3600" kern="10" spc="0">
              <a:ln>
                <a:noFill/>
              </a:ln>
              <a:solidFill>
                <a:sysClr val="windowText" lastClr="000000"/>
              </a:solidFill>
              <a:effectLst>
                <a:outerShdw dist="45791" dir="2021404" algn="ctr" rotWithShape="0">
                  <a:srgbClr val="B2B2B2">
                    <a:alpha val="80000"/>
                  </a:srgbClr>
                </a:outerShdw>
              </a:effectLst>
              <a:latin typeface="Times New Roman"/>
              <a:cs typeface="Times New Roman"/>
            </a:rPr>
            <a:t>B. 1</a:t>
          </a:r>
          <a:endParaRPr lang="th-TH" sz="3600" kern="10" spc="0">
            <a:ln>
              <a:noFill/>
            </a:ln>
            <a:solidFill>
              <a:sysClr val="windowText" lastClr="000000"/>
            </a:solidFill>
            <a:effectLst>
              <a:outerShdw dist="45791" dir="2021404" algn="ctr" rotWithShape="0">
                <a:srgbClr val="B2B2B2">
                  <a:alpha val="80000"/>
                </a:srgbClr>
              </a:outerShdw>
            </a:effectLst>
            <a:latin typeface="Times New Roman"/>
          </a:endParaRPr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25</xdr:col>
      <xdr:colOff>85725</xdr:colOff>
      <xdr:row>2</xdr:row>
      <xdr:rowOff>125186</xdr:rowOff>
    </xdr:to>
    <xdr:sp macro="" textlink="">
      <xdr:nvSpPr>
        <xdr:cNvPr id="3" name="BERTH2"/>
        <xdr:cNvSpPr>
          <a:spLocks noChangeArrowheads="1" noChangeShapeType="1" noTextEdit="1"/>
        </xdr:cNvSpPr>
      </xdr:nvSpPr>
      <xdr:spPr bwMode="auto">
        <a:xfrm>
          <a:off x="8153400" y="161925"/>
          <a:ext cx="1990725" cy="287111"/>
        </a:xfrm>
        <a:prstGeom prst="rect">
          <a:avLst/>
        </a:prstGeom>
        <a:extLst/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sz="3600" kern="10" spc="0">
              <a:ln>
                <a:noFill/>
              </a:ln>
              <a:solidFill>
                <a:sysClr val="windowText" lastClr="000000"/>
              </a:solidFill>
              <a:effectLst>
                <a:outerShdw dist="45791" dir="2021404" algn="ctr" rotWithShape="0">
                  <a:srgbClr val="B2B2B2">
                    <a:alpha val="80000"/>
                  </a:srgbClr>
                </a:outerShdw>
              </a:effectLst>
              <a:latin typeface="Times New Roman"/>
              <a:cs typeface="Times New Roman"/>
            </a:rPr>
            <a:t>A. 0/1</a:t>
          </a:r>
          <a:endParaRPr lang="th-TH" sz="3600" kern="10" spc="0">
            <a:ln>
              <a:noFill/>
            </a:ln>
            <a:solidFill>
              <a:sysClr val="windowText" lastClr="000000"/>
            </a:solidFill>
            <a:effectLst>
              <a:outerShdw dist="45791" dir="2021404" algn="ctr" rotWithShape="0">
                <a:srgbClr val="B2B2B2">
                  <a:alpha val="80000"/>
                </a:srgbClr>
              </a:outerShdw>
            </a:effectLst>
            <a:latin typeface="Times New Roman"/>
          </a:endParaRPr>
        </a:p>
      </xdr:txBody>
    </xdr:sp>
    <xdr:clientData/>
  </xdr:twoCellAnchor>
  <xdr:twoCellAnchor>
    <xdr:from>
      <xdr:col>30</xdr:col>
      <xdr:colOff>231321</xdr:colOff>
      <xdr:row>1</xdr:row>
      <xdr:rowOff>0</xdr:rowOff>
    </xdr:from>
    <xdr:to>
      <xdr:col>35</xdr:col>
      <xdr:colOff>317046</xdr:colOff>
      <xdr:row>2</xdr:row>
      <xdr:rowOff>125186</xdr:rowOff>
    </xdr:to>
    <xdr:sp macro="" textlink="">
      <xdr:nvSpPr>
        <xdr:cNvPr id="4" name="BERTH3"/>
        <xdr:cNvSpPr>
          <a:spLocks noChangeArrowheads="1" noChangeShapeType="1" noTextEdit="1"/>
        </xdr:cNvSpPr>
      </xdr:nvSpPr>
      <xdr:spPr bwMode="auto">
        <a:xfrm>
          <a:off x="12309021" y="161925"/>
          <a:ext cx="1990725" cy="287111"/>
        </a:xfrm>
        <a:prstGeom prst="rect">
          <a:avLst/>
        </a:prstGeom>
        <a:extLst/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sz="3600" kern="10" spc="0">
              <a:ln>
                <a:noFill/>
              </a:ln>
              <a:solidFill>
                <a:sysClr val="windowText" lastClr="000000"/>
              </a:solidFill>
              <a:effectLst>
                <a:outerShdw dist="45791" dir="2021404" algn="ctr" rotWithShape="0">
                  <a:srgbClr val="B2B2B2">
                    <a:alpha val="80000"/>
                  </a:srgbClr>
                </a:outerShdw>
              </a:effectLst>
              <a:latin typeface="Times New Roman"/>
              <a:cs typeface="Times New Roman"/>
            </a:rPr>
            <a:t>A. 0</a:t>
          </a:r>
          <a:endParaRPr lang="th-TH" sz="3600" kern="10" spc="0">
            <a:ln>
              <a:noFill/>
            </a:ln>
            <a:solidFill>
              <a:sysClr val="windowText" lastClr="000000"/>
            </a:solidFill>
            <a:effectLst>
              <a:outerShdw dist="45791" dir="2021404" algn="ctr" rotWithShape="0">
                <a:srgbClr val="B2B2B2">
                  <a:alpha val="80000"/>
                </a:srgbClr>
              </a:outerShdw>
            </a:effectLst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0</xdr:row>
          <xdr:rowOff>66675</xdr:rowOff>
        </xdr:from>
        <xdr:to>
          <xdr:col>39</xdr:col>
          <xdr:colOff>28575</xdr:colOff>
          <xdr:row>2</xdr:row>
          <xdr:rowOff>95250</xdr:rowOff>
        </xdr:to>
        <xdr:sp macro="" textlink="">
          <xdr:nvSpPr>
            <xdr:cNvPr id="1159169" name="Button 1" hidden="1">
              <a:extLst>
                <a:ext uri="{63B3BB69-23CF-44E3-9099-C40C66FF867C}">
                  <a14:compatExt spid="_x0000_s1159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38100</xdr:colOff>
          <xdr:row>0</xdr:row>
          <xdr:rowOff>57150</xdr:rowOff>
        </xdr:from>
        <xdr:to>
          <xdr:col>41</xdr:col>
          <xdr:colOff>219075</xdr:colOff>
          <xdr:row>2</xdr:row>
          <xdr:rowOff>95250</xdr:rowOff>
        </xdr:to>
        <xdr:sp macro="" textlink="">
          <xdr:nvSpPr>
            <xdr:cNvPr id="1159170" name="Button 2" hidden="1">
              <a:extLst>
                <a:ext uri="{63B3BB69-23CF-44E3-9099-C40C66FF867C}">
                  <a14:compatExt spid="_x0000_s1159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257175</xdr:colOff>
          <xdr:row>0</xdr:row>
          <xdr:rowOff>57150</xdr:rowOff>
        </xdr:from>
        <xdr:to>
          <xdr:col>43</xdr:col>
          <xdr:colOff>361950</xdr:colOff>
          <xdr:row>2</xdr:row>
          <xdr:rowOff>95250</xdr:rowOff>
        </xdr:to>
        <xdr:sp macro="" textlink="">
          <xdr:nvSpPr>
            <xdr:cNvPr id="1159171" name="Button 3" hidden="1">
              <a:extLst>
                <a:ext uri="{63B3BB69-23CF-44E3-9099-C40C66FF867C}">
                  <a14:compatExt spid="_x0000_s1159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color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330200</xdr:colOff>
      <xdr:row>11</xdr:row>
      <xdr:rowOff>185738</xdr:rowOff>
    </xdr:from>
    <xdr:to>
      <xdr:col>25</xdr:col>
      <xdr:colOff>304800</xdr:colOff>
      <xdr:row>14</xdr:row>
      <xdr:rowOff>61913</xdr:rowOff>
    </xdr:to>
    <xdr:sp macro="" textlink="">
      <xdr:nvSpPr>
        <xdr:cNvPr id="1161634" name="0082n-v"/>
        <xdr:cNvSpPr/>
      </xdr:nvSpPr>
      <xdr:spPr bwMode="auto">
        <a:xfrm>
          <a:off x="7721600" y="2652713"/>
          <a:ext cx="2641600" cy="619125"/>
        </a:xfrm>
        <a:prstGeom prst="homePlate">
          <a:avLst/>
        </a:prstGeom>
        <a:solidFill>
          <a:srgbClr val="FF78D6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SAWASDEE SINGAPORE</a:t>
          </a:r>
          <a:r>
            <a:rPr lang="en-US" sz="1000" b="1"/>
            <a:t>  (166M)</a:t>
          </a:r>
        </a:p>
        <a:p>
          <a:pPr algn="ctr"/>
          <a:r>
            <a:rPr lang="en-US" sz="1000" b="1"/>
            <a:t>14/08@23:00-15/08@09:00</a:t>
          </a:r>
        </a:p>
        <a:p>
          <a:pPr algn="ctr"/>
          <a:r>
            <a:rPr lang="en-US" sz="1000" b="1"/>
            <a:t>KTS-LOAD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LOAD ONLY</a:t>
          </a:r>
        </a:p>
      </xdr:txBody>
    </xdr:sp>
    <xdr:clientData/>
  </xdr:twoCellAnchor>
  <xdr:twoCellAnchor>
    <xdr:from>
      <xdr:col>24</xdr:col>
      <xdr:colOff>50800</xdr:colOff>
      <xdr:row>12</xdr:row>
      <xdr:rowOff>155402</xdr:rowOff>
    </xdr:from>
    <xdr:to>
      <xdr:col>25</xdr:col>
      <xdr:colOff>233929</xdr:colOff>
      <xdr:row>13</xdr:row>
      <xdr:rowOff>219248</xdr:rowOff>
    </xdr:to>
    <xdr:sp macro="" textlink="">
      <xdr:nvSpPr>
        <xdr:cNvPr id="1161635" name="TextBox 1161634"/>
        <xdr:cNvSpPr txBox="1"/>
      </xdr:nvSpPr>
      <xdr:spPr>
        <a:xfrm>
          <a:off x="9728200" y="2870027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30M</a:t>
          </a:r>
        </a:p>
      </xdr:txBody>
    </xdr:sp>
    <xdr:clientData/>
  </xdr:twoCellAnchor>
  <xdr:twoCellAnchor>
    <xdr:from>
      <xdr:col>18</xdr:col>
      <xdr:colOff>330200</xdr:colOff>
      <xdr:row>12</xdr:row>
      <xdr:rowOff>155402</xdr:rowOff>
    </xdr:from>
    <xdr:to>
      <xdr:col>20</xdr:col>
      <xdr:colOff>223316</xdr:colOff>
      <xdr:row>13</xdr:row>
      <xdr:rowOff>219248</xdr:rowOff>
    </xdr:to>
    <xdr:sp macro="" textlink="">
      <xdr:nvSpPr>
        <xdr:cNvPr id="1161636" name="TextBox 1161635"/>
        <xdr:cNvSpPr txBox="1"/>
      </xdr:nvSpPr>
      <xdr:spPr>
        <a:xfrm>
          <a:off x="7721600" y="2870027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196M</a:t>
          </a:r>
        </a:p>
      </xdr:txBody>
    </xdr:sp>
    <xdr:clientData/>
  </xdr:twoCellAnchor>
  <xdr:twoCellAnchor>
    <xdr:from>
      <xdr:col>36</xdr:col>
      <xdr:colOff>330200</xdr:colOff>
      <xdr:row>6</xdr:row>
      <xdr:rowOff>61913</xdr:rowOff>
    </xdr:from>
    <xdr:to>
      <xdr:col>45</xdr:col>
      <xdr:colOff>317500</xdr:colOff>
      <xdr:row>8</xdr:row>
      <xdr:rowOff>123825</xdr:rowOff>
    </xdr:to>
    <xdr:sp macro="" textlink="">
      <xdr:nvSpPr>
        <xdr:cNvPr id="1161637" name="0002n-v"/>
        <xdr:cNvSpPr/>
      </xdr:nvSpPr>
      <xdr:spPr bwMode="auto">
        <a:xfrm>
          <a:off x="14693900" y="1290638"/>
          <a:ext cx="3454400" cy="557212"/>
        </a:xfrm>
        <a:prstGeom prst="homePlate">
          <a:avLst/>
        </a:prstGeom>
        <a:solidFill>
          <a:srgbClr val="FFFF45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STARSHIP TAURUS</a:t>
          </a:r>
          <a:r>
            <a:rPr lang="en-US" sz="1000" b="1"/>
            <a:t>  (173M)</a:t>
          </a:r>
        </a:p>
        <a:p>
          <a:pPr algn="ctr"/>
          <a:r>
            <a:rPr lang="en-US" sz="1000" b="1"/>
            <a:t>14/08@01:00-14/08@10:00</a:t>
          </a:r>
        </a:p>
        <a:p>
          <a:pPr algn="ctr"/>
          <a:r>
            <a:rPr lang="en-US" sz="1000" b="1"/>
            <a:t>NTX-LOAD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LOAD ONLY</a:t>
          </a:r>
        </a:p>
      </xdr:txBody>
    </xdr:sp>
    <xdr:clientData/>
  </xdr:twoCellAnchor>
  <xdr:twoCellAnchor>
    <xdr:from>
      <xdr:col>44</xdr:col>
      <xdr:colOff>82550</xdr:colOff>
      <xdr:row>7</xdr:row>
      <xdr:rowOff>621</xdr:rowOff>
    </xdr:from>
    <xdr:to>
      <xdr:col>45</xdr:col>
      <xdr:colOff>246629</xdr:colOff>
      <xdr:row>8</xdr:row>
      <xdr:rowOff>64467</xdr:rowOff>
    </xdr:to>
    <xdr:sp macro="" textlink="">
      <xdr:nvSpPr>
        <xdr:cNvPr id="1161638" name="TextBox 1161637"/>
        <xdr:cNvSpPr txBox="1"/>
      </xdr:nvSpPr>
      <xdr:spPr>
        <a:xfrm>
          <a:off x="17513300" y="1476996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80M</a:t>
          </a:r>
        </a:p>
      </xdr:txBody>
    </xdr:sp>
    <xdr:clientData/>
  </xdr:twoCellAnchor>
  <xdr:twoCellAnchor>
    <xdr:from>
      <xdr:col>36</xdr:col>
      <xdr:colOff>330200</xdr:colOff>
      <xdr:row>7</xdr:row>
      <xdr:rowOff>621</xdr:rowOff>
    </xdr:from>
    <xdr:to>
      <xdr:col>38</xdr:col>
      <xdr:colOff>223316</xdr:colOff>
      <xdr:row>8</xdr:row>
      <xdr:rowOff>64467</xdr:rowOff>
    </xdr:to>
    <xdr:sp macro="" textlink="">
      <xdr:nvSpPr>
        <xdr:cNvPr id="1161639" name="TextBox 1161638"/>
        <xdr:cNvSpPr txBox="1"/>
      </xdr:nvSpPr>
      <xdr:spPr>
        <a:xfrm>
          <a:off x="14693900" y="1476996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253M</a:t>
          </a:r>
        </a:p>
      </xdr:txBody>
    </xdr:sp>
    <xdr:clientData/>
  </xdr:twoCellAnchor>
  <xdr:twoCellAnchor>
    <xdr:from>
      <xdr:col>35</xdr:col>
      <xdr:colOff>101600</xdr:colOff>
      <xdr:row>10</xdr:row>
      <xdr:rowOff>123825</xdr:rowOff>
    </xdr:from>
    <xdr:to>
      <xdr:col>45</xdr:col>
      <xdr:colOff>317500</xdr:colOff>
      <xdr:row>18</xdr:row>
      <xdr:rowOff>123825</xdr:rowOff>
    </xdr:to>
    <xdr:sp macro="" textlink="">
      <xdr:nvSpPr>
        <xdr:cNvPr id="1161640" name="1720-1721-v"/>
        <xdr:cNvSpPr/>
      </xdr:nvSpPr>
      <xdr:spPr bwMode="auto">
        <a:xfrm>
          <a:off x="14084300" y="2343150"/>
          <a:ext cx="4064000" cy="1981200"/>
        </a:xfrm>
        <a:prstGeom prst="homePlate">
          <a:avLst/>
        </a:prstGeom>
        <a:solidFill>
          <a:srgbClr val="CCFF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HS ONORE</a:t>
          </a:r>
          <a:r>
            <a:rPr lang="en-US" sz="1000" b="1"/>
            <a:t>  (213M)</a:t>
          </a:r>
        </a:p>
        <a:p>
          <a:pPr algn="ctr"/>
          <a:r>
            <a:rPr lang="en-US" sz="1000" b="1"/>
            <a:t>14/08@18:00-16/08@02:00</a:t>
          </a:r>
        </a:p>
        <a:p>
          <a:pPr algn="ctr"/>
          <a:r>
            <a:rPr lang="en-US" sz="1000" b="1"/>
            <a:t>IA2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44</xdr:col>
      <xdr:colOff>82550</xdr:colOff>
      <xdr:row>14</xdr:row>
      <xdr:rowOff>31577</xdr:rowOff>
    </xdr:from>
    <xdr:to>
      <xdr:col>45</xdr:col>
      <xdr:colOff>246629</xdr:colOff>
      <xdr:row>15</xdr:row>
      <xdr:rowOff>95423</xdr:rowOff>
    </xdr:to>
    <xdr:sp macro="" textlink="">
      <xdr:nvSpPr>
        <xdr:cNvPr id="1161641" name="TextBox 1161640"/>
        <xdr:cNvSpPr txBox="1"/>
      </xdr:nvSpPr>
      <xdr:spPr>
        <a:xfrm>
          <a:off x="17513300" y="3241502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80M</a:t>
          </a:r>
        </a:p>
      </xdr:txBody>
    </xdr:sp>
    <xdr:clientData/>
  </xdr:twoCellAnchor>
  <xdr:twoCellAnchor>
    <xdr:from>
      <xdr:col>35</xdr:col>
      <xdr:colOff>101600</xdr:colOff>
      <xdr:row>14</xdr:row>
      <xdr:rowOff>31577</xdr:rowOff>
    </xdr:from>
    <xdr:to>
      <xdr:col>36</xdr:col>
      <xdr:colOff>375716</xdr:colOff>
      <xdr:row>15</xdr:row>
      <xdr:rowOff>95423</xdr:rowOff>
    </xdr:to>
    <xdr:sp macro="" textlink="">
      <xdr:nvSpPr>
        <xdr:cNvPr id="1161642" name="TextBox 1161641"/>
        <xdr:cNvSpPr txBox="1"/>
      </xdr:nvSpPr>
      <xdr:spPr>
        <a:xfrm>
          <a:off x="14084300" y="3241502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293M</a:t>
          </a:r>
        </a:p>
      </xdr:txBody>
    </xdr:sp>
    <xdr:clientData/>
  </xdr:twoCellAnchor>
  <xdr:twoCellAnchor>
    <xdr:from>
      <xdr:col>5</xdr:col>
      <xdr:colOff>225425</xdr:colOff>
      <xdr:row>6</xdr:row>
      <xdr:rowOff>0</xdr:rowOff>
    </xdr:from>
    <xdr:to>
      <xdr:col>15</xdr:col>
      <xdr:colOff>304800</xdr:colOff>
      <xdr:row>11</xdr:row>
      <xdr:rowOff>123825</xdr:rowOff>
    </xdr:to>
    <xdr:sp macro="" textlink="">
      <xdr:nvSpPr>
        <xdr:cNvPr id="1161643" name="722n722s-v"/>
        <xdr:cNvSpPr/>
      </xdr:nvSpPr>
      <xdr:spPr bwMode="auto">
        <a:xfrm>
          <a:off x="2578100" y="1228725"/>
          <a:ext cx="3975100" cy="1362075"/>
        </a:xfrm>
        <a:prstGeom prst="homePlate">
          <a:avLst/>
        </a:prstGeom>
        <a:solidFill>
          <a:srgbClr val="CCFFFF"/>
        </a:solidFill>
        <a:ln w="25400" cap="flat" cmpd="sng" algn="ctr">
          <a:solidFill>
            <a:srgbClr val="FF0000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WIDE BRAVO</a:t>
          </a:r>
          <a:r>
            <a:rPr lang="en-US" sz="1000" b="1"/>
            <a:t>  (255M)</a:t>
          </a:r>
        </a:p>
        <a:p>
          <a:pPr algn="ctr"/>
          <a:r>
            <a:rPr lang="en-US" sz="1000" b="1"/>
            <a:t>12/08@23:00-14/08@22:00</a:t>
          </a:r>
        </a:p>
        <a:p>
          <a:pPr algn="ctr"/>
          <a:r>
            <a:rPr lang="en-US" sz="1000" b="1"/>
            <a:t>BOOM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CUT off SAT 05.00hrs</a:t>
          </a:r>
        </a:p>
      </xdr:txBody>
    </xdr:sp>
    <xdr:clientData/>
  </xdr:twoCellAnchor>
  <xdr:twoCellAnchor>
    <xdr:from>
      <xdr:col>14</xdr:col>
      <xdr:colOff>50800</xdr:colOff>
      <xdr:row>8</xdr:row>
      <xdr:rowOff>93490</xdr:rowOff>
    </xdr:from>
    <xdr:to>
      <xdr:col>15</xdr:col>
      <xdr:colOff>324916</xdr:colOff>
      <xdr:row>9</xdr:row>
      <xdr:rowOff>157336</xdr:rowOff>
    </xdr:to>
    <xdr:sp macro="" textlink="">
      <xdr:nvSpPr>
        <xdr:cNvPr id="1161644" name="TextBox 1161643"/>
        <xdr:cNvSpPr txBox="1"/>
      </xdr:nvSpPr>
      <xdr:spPr>
        <a:xfrm>
          <a:off x="5918200" y="1817515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255M</a:t>
          </a:r>
        </a:p>
      </xdr:txBody>
    </xdr:sp>
    <xdr:clientData/>
  </xdr:twoCellAnchor>
  <xdr:twoCellAnchor>
    <xdr:from>
      <xdr:col>5</xdr:col>
      <xdr:colOff>225425</xdr:colOff>
      <xdr:row>8</xdr:row>
      <xdr:rowOff>93490</xdr:rowOff>
    </xdr:from>
    <xdr:to>
      <xdr:col>7</xdr:col>
      <xdr:colOff>118541</xdr:colOff>
      <xdr:row>9</xdr:row>
      <xdr:rowOff>157336</xdr:rowOff>
    </xdr:to>
    <xdr:sp macro="" textlink="">
      <xdr:nvSpPr>
        <xdr:cNvPr id="1161645" name="TextBox 1161644"/>
        <xdr:cNvSpPr txBox="1"/>
      </xdr:nvSpPr>
      <xdr:spPr>
        <a:xfrm>
          <a:off x="2578100" y="1817515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510M</a:t>
          </a:r>
        </a:p>
      </xdr:txBody>
    </xdr:sp>
    <xdr:clientData/>
  </xdr:twoCellAnchor>
  <xdr:twoCellAnchor>
    <xdr:from>
      <xdr:col>0</xdr:col>
      <xdr:colOff>127000</xdr:colOff>
      <xdr:row>6</xdr:row>
      <xdr:rowOff>0</xdr:rowOff>
    </xdr:from>
    <xdr:to>
      <xdr:col>3</xdr:col>
      <xdr:colOff>225425</xdr:colOff>
      <xdr:row>12</xdr:row>
      <xdr:rowOff>61913</xdr:rowOff>
    </xdr:to>
    <xdr:sp macro="" textlink="">
      <xdr:nvSpPr>
        <xdr:cNvPr id="1161646" name="1-v-26-27-28-43-44"/>
        <xdr:cNvSpPr/>
      </xdr:nvSpPr>
      <xdr:spPr bwMode="auto">
        <a:xfrm rot="10800000">
          <a:off x="127000" y="1228725"/>
          <a:ext cx="1689100" cy="1547813"/>
        </a:xfrm>
        <a:prstGeom prst="homePlate">
          <a:avLst/>
        </a:prstGeom>
        <a:solidFill>
          <a:srgbClr val="69FF12"/>
        </a:solidFill>
        <a:ln w="25400" cap="flat" cmpd="sng" algn="ctr">
          <a:solidFill>
            <a:srgbClr val="FF0000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TAL MILIONE</a:t>
          </a:r>
          <a:r>
            <a:rPr lang="en-US" sz="1000" b="1"/>
            <a:t>  (265M)</a:t>
          </a:r>
        </a:p>
        <a:p>
          <a:pPr algn="ctr"/>
          <a:r>
            <a:rPr lang="en-US" sz="1000" b="1"/>
            <a:t>13/08@21:00-15/08@01:00</a:t>
          </a:r>
        </a:p>
        <a:p>
          <a:pPr algn="ctr"/>
          <a:r>
            <a:rPr lang="en-US" sz="1000" b="1"/>
            <a:t>B2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310M</a:t>
          </a:r>
        </a:p>
      </xdr:txBody>
    </xdr:sp>
    <xdr:clientData/>
  </xdr:twoCellAnchor>
  <xdr:twoCellAnchor>
    <xdr:from>
      <xdr:col>32</xdr:col>
      <xdr:colOff>215900</xdr:colOff>
      <xdr:row>6</xdr:row>
      <xdr:rowOff>61913</xdr:rowOff>
    </xdr:from>
    <xdr:to>
      <xdr:col>35</xdr:col>
      <xdr:colOff>0</xdr:colOff>
      <xdr:row>7</xdr:row>
      <xdr:rowOff>0</xdr:rowOff>
    </xdr:to>
    <xdr:sp macro="" textlink="">
      <xdr:nvSpPr>
        <xdr:cNvPr id="1161647" name="143n-v"/>
        <xdr:cNvSpPr/>
      </xdr:nvSpPr>
      <xdr:spPr bwMode="auto">
        <a:xfrm>
          <a:off x="13055600" y="1290638"/>
          <a:ext cx="927100" cy="185737"/>
        </a:xfrm>
        <a:prstGeom prst="homePlate">
          <a:avLst/>
        </a:prstGeom>
        <a:solidFill>
          <a:srgbClr val="CFCBBC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STS1</a:t>
          </a:r>
          <a:r>
            <a:rPr lang="en-US" sz="1000" b="1"/>
            <a:t>  (61M)</a:t>
          </a:r>
        </a:p>
        <a:p>
          <a:pPr algn="ctr"/>
          <a:r>
            <a:rPr lang="en-US" sz="1000" b="1"/>
            <a:t>14/08@01:00-14/08@04:00</a:t>
          </a:r>
        </a:p>
        <a:p>
          <a:pPr algn="ctr"/>
          <a:r>
            <a:rPr lang="en-US" sz="1000" b="1"/>
            <a:t>STS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32</xdr:col>
      <xdr:colOff>215900</xdr:colOff>
      <xdr:row>6</xdr:row>
      <xdr:rowOff>244475</xdr:rowOff>
    </xdr:from>
    <xdr:to>
      <xdr:col>35</xdr:col>
      <xdr:colOff>379796</xdr:colOff>
      <xdr:row>8</xdr:row>
      <xdr:rowOff>13735</xdr:rowOff>
    </xdr:to>
    <xdr:sp macro="" textlink="">
      <xdr:nvSpPr>
        <xdr:cNvPr id="1161648" name="TextBox 1161647"/>
        <xdr:cNvSpPr txBox="1"/>
      </xdr:nvSpPr>
      <xdr:spPr>
        <a:xfrm>
          <a:off x="13055600" y="1473200"/>
          <a:ext cx="1306896" cy="264560"/>
        </a:xfrm>
        <a:prstGeom prst="rect">
          <a:avLst/>
        </a:prstGeom>
        <a:solidFill>
          <a:srgbClr val="CFCBBC">
            <a:alpha val="10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100"/>
            <a:t>01-04(D:10,L:0):STS</a:t>
          </a:r>
        </a:p>
      </xdr:txBody>
    </xdr:sp>
    <xdr:clientData/>
  </xdr:twoCellAnchor>
  <xdr:twoCellAnchor>
    <xdr:from>
      <xdr:col>18</xdr:col>
      <xdr:colOff>127000</xdr:colOff>
      <xdr:row>10</xdr:row>
      <xdr:rowOff>123825</xdr:rowOff>
    </xdr:from>
    <xdr:to>
      <xdr:col>21</xdr:col>
      <xdr:colOff>203200</xdr:colOff>
      <xdr:row>11</xdr:row>
      <xdr:rowOff>123825</xdr:rowOff>
    </xdr:to>
    <xdr:sp macro="" textlink="">
      <xdr:nvSpPr>
        <xdr:cNvPr id="1161649" name="17059e-v"/>
        <xdr:cNvSpPr/>
      </xdr:nvSpPr>
      <xdr:spPr bwMode="auto">
        <a:xfrm>
          <a:off x="7518400" y="2343150"/>
          <a:ext cx="1219200" cy="247650"/>
        </a:xfrm>
        <a:prstGeom prst="homePlate">
          <a:avLst/>
        </a:prstGeom>
        <a:solidFill>
          <a:srgbClr val="FFEDC2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SAW1</a:t>
          </a:r>
          <a:r>
            <a:rPr lang="en-US" sz="1000" b="1"/>
            <a:t>  (87M)</a:t>
          </a:r>
        </a:p>
        <a:p>
          <a:pPr algn="ctr"/>
          <a:r>
            <a:rPr lang="en-US" sz="1000" b="1"/>
            <a:t>14/08@18:00-14/08@22:00</a:t>
          </a:r>
        </a:p>
        <a:p>
          <a:pPr algn="ctr"/>
          <a:r>
            <a:rPr lang="en-US" sz="1000" b="1"/>
            <a:t>UTC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18</xdr:col>
      <xdr:colOff>127000</xdr:colOff>
      <xdr:row>9</xdr:row>
      <xdr:rowOff>111125</xdr:rowOff>
    </xdr:from>
    <xdr:to>
      <xdr:col>22</xdr:col>
      <xdr:colOff>17490</xdr:colOff>
      <xdr:row>10</xdr:row>
      <xdr:rowOff>128035</xdr:rowOff>
    </xdr:to>
    <xdr:sp macro="" textlink="">
      <xdr:nvSpPr>
        <xdr:cNvPr id="1161650" name="TextBox 1161649"/>
        <xdr:cNvSpPr txBox="1"/>
      </xdr:nvSpPr>
      <xdr:spPr>
        <a:xfrm>
          <a:off x="7518400" y="2082800"/>
          <a:ext cx="1414490" cy="264560"/>
        </a:xfrm>
        <a:prstGeom prst="rect">
          <a:avLst/>
        </a:prstGeom>
        <a:solidFill>
          <a:srgbClr val="FFEDC2">
            <a:alpha val="10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100"/>
            <a:t>18-22(D:155,L:0):UTC</a:t>
          </a:r>
        </a:p>
      </xdr:txBody>
    </xdr:sp>
    <xdr:clientData/>
  </xdr:twoCellAnchor>
  <xdr:twoCellAnchor>
    <xdr:from>
      <xdr:col>18</xdr:col>
      <xdr:colOff>317500</xdr:colOff>
      <xdr:row>14</xdr:row>
      <xdr:rowOff>185738</xdr:rowOff>
    </xdr:from>
    <xdr:to>
      <xdr:col>25</xdr:col>
      <xdr:colOff>304800</xdr:colOff>
      <xdr:row>16</xdr:row>
      <xdr:rowOff>123825</xdr:rowOff>
    </xdr:to>
    <xdr:sp macro="" textlink="">
      <xdr:nvSpPr>
        <xdr:cNvPr id="1161651" name="1710s-v-5"/>
        <xdr:cNvSpPr/>
      </xdr:nvSpPr>
      <xdr:spPr bwMode="auto">
        <a:xfrm>
          <a:off x="7708900" y="3395663"/>
          <a:ext cx="2654300" cy="433387"/>
        </a:xfrm>
        <a:prstGeom prst="homePlate">
          <a:avLst/>
        </a:prstGeom>
        <a:solidFill>
          <a:srgbClr val="FF78D6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KMTC ULSAN</a:t>
          </a:r>
          <a:r>
            <a:rPr lang="en-US" sz="1000" b="1"/>
            <a:t>  (168M)</a:t>
          </a:r>
        </a:p>
        <a:p>
          <a:pPr algn="ctr"/>
          <a:r>
            <a:rPr lang="en-US" sz="1000" b="1"/>
            <a:t>15/08@11:00-15/08@18:00</a:t>
          </a:r>
        </a:p>
        <a:p>
          <a:pPr algn="ctr"/>
          <a:r>
            <a:rPr lang="en-US" sz="1000" b="1"/>
            <a:t>KTS-DISH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DISCHARGE ONLY</a:t>
          </a:r>
        </a:p>
      </xdr:txBody>
    </xdr:sp>
    <xdr:clientData/>
  </xdr:twoCellAnchor>
  <xdr:twoCellAnchor>
    <xdr:from>
      <xdr:col>24</xdr:col>
      <xdr:colOff>50800</xdr:colOff>
      <xdr:row>15</xdr:row>
      <xdr:rowOff>62533</xdr:rowOff>
    </xdr:from>
    <xdr:to>
      <xdr:col>25</xdr:col>
      <xdr:colOff>233929</xdr:colOff>
      <xdr:row>16</xdr:row>
      <xdr:rowOff>126379</xdr:rowOff>
    </xdr:to>
    <xdr:sp macro="" textlink="">
      <xdr:nvSpPr>
        <xdr:cNvPr id="1161652" name="TextBox 1161651"/>
        <xdr:cNvSpPr txBox="1"/>
      </xdr:nvSpPr>
      <xdr:spPr>
        <a:xfrm>
          <a:off x="9728200" y="3520108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30M</a:t>
          </a:r>
        </a:p>
      </xdr:txBody>
    </xdr:sp>
    <xdr:clientData/>
  </xdr:twoCellAnchor>
  <xdr:twoCellAnchor>
    <xdr:from>
      <xdr:col>18</xdr:col>
      <xdr:colOff>317500</xdr:colOff>
      <xdr:row>15</xdr:row>
      <xdr:rowOff>62533</xdr:rowOff>
    </xdr:from>
    <xdr:to>
      <xdr:col>20</xdr:col>
      <xdr:colOff>210616</xdr:colOff>
      <xdr:row>16</xdr:row>
      <xdr:rowOff>126379</xdr:rowOff>
    </xdr:to>
    <xdr:sp macro="" textlink="">
      <xdr:nvSpPr>
        <xdr:cNvPr id="1161653" name="TextBox 1161652"/>
        <xdr:cNvSpPr txBox="1"/>
      </xdr:nvSpPr>
      <xdr:spPr>
        <a:xfrm>
          <a:off x="7708900" y="3520108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198M</a:t>
          </a:r>
        </a:p>
      </xdr:txBody>
    </xdr:sp>
    <xdr:clientData/>
  </xdr:twoCellAnchor>
  <xdr:twoCellAnchor>
    <xdr:from>
      <xdr:col>8</xdr:col>
      <xdr:colOff>187325</xdr:colOff>
      <xdr:row>12</xdr:row>
      <xdr:rowOff>1032</xdr:rowOff>
    </xdr:from>
    <xdr:to>
      <xdr:col>18</xdr:col>
      <xdr:colOff>76200</xdr:colOff>
      <xdr:row>17</xdr:row>
      <xdr:rowOff>0</xdr:rowOff>
    </xdr:to>
    <xdr:sp macro="" textlink="">
      <xdr:nvSpPr>
        <xdr:cNvPr id="1161654" name="hp732ar-v"/>
        <xdr:cNvSpPr/>
      </xdr:nvSpPr>
      <xdr:spPr bwMode="auto">
        <a:xfrm>
          <a:off x="3683000" y="2715657"/>
          <a:ext cx="3784600" cy="1237218"/>
        </a:xfrm>
        <a:prstGeom prst="homePlate">
          <a:avLst/>
        </a:prstGeom>
        <a:solidFill>
          <a:srgbClr val="FFC387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MERATUS JAYAKARTA</a:t>
          </a:r>
          <a:r>
            <a:rPr lang="en-US" sz="1000" b="1"/>
            <a:t>  (208M)</a:t>
          </a:r>
        </a:p>
        <a:p>
          <a:pPr algn="ctr"/>
          <a:r>
            <a:rPr lang="en-US" sz="1000" b="1"/>
            <a:t>15/08@00:01-15/08@20:00</a:t>
          </a:r>
        </a:p>
        <a:p>
          <a:pPr algn="ctr"/>
          <a:r>
            <a:rPr lang="en-US" sz="1000" b="1"/>
            <a:t>THAI2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16</xdr:col>
      <xdr:colOff>203200</xdr:colOff>
      <xdr:row>14</xdr:row>
      <xdr:rowOff>32093</xdr:rowOff>
    </xdr:from>
    <xdr:to>
      <xdr:col>18</xdr:col>
      <xdr:colOff>96316</xdr:colOff>
      <xdr:row>15</xdr:row>
      <xdr:rowOff>95939</xdr:rowOff>
    </xdr:to>
    <xdr:sp macro="" textlink="">
      <xdr:nvSpPr>
        <xdr:cNvPr id="1161655" name="TextBox 1161654"/>
        <xdr:cNvSpPr txBox="1"/>
      </xdr:nvSpPr>
      <xdr:spPr>
        <a:xfrm>
          <a:off x="6832600" y="3242018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230M</a:t>
          </a:r>
        </a:p>
      </xdr:txBody>
    </xdr:sp>
    <xdr:clientData/>
  </xdr:twoCellAnchor>
  <xdr:twoCellAnchor>
    <xdr:from>
      <xdr:col>8</xdr:col>
      <xdr:colOff>187325</xdr:colOff>
      <xdr:row>14</xdr:row>
      <xdr:rowOff>32093</xdr:rowOff>
    </xdr:from>
    <xdr:to>
      <xdr:col>9</xdr:col>
      <xdr:colOff>461441</xdr:colOff>
      <xdr:row>15</xdr:row>
      <xdr:rowOff>95939</xdr:rowOff>
    </xdr:to>
    <xdr:sp macro="" textlink="">
      <xdr:nvSpPr>
        <xdr:cNvPr id="1161656" name="TextBox 1161655"/>
        <xdr:cNvSpPr txBox="1"/>
      </xdr:nvSpPr>
      <xdr:spPr>
        <a:xfrm>
          <a:off x="3683000" y="3242018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438M</a:t>
          </a:r>
        </a:p>
      </xdr:txBody>
    </xdr:sp>
    <xdr:clientData/>
  </xdr:twoCellAnchor>
  <xdr:twoCellAnchor>
    <xdr:from>
      <xdr:col>10</xdr:col>
      <xdr:colOff>203200</xdr:colOff>
      <xdr:row>17</xdr:row>
      <xdr:rowOff>61913</xdr:rowOff>
    </xdr:from>
    <xdr:to>
      <xdr:col>14</xdr:col>
      <xdr:colOff>0</xdr:colOff>
      <xdr:row>18</xdr:row>
      <xdr:rowOff>61913</xdr:rowOff>
    </xdr:to>
    <xdr:sp macro="" textlink="">
      <xdr:nvSpPr>
        <xdr:cNvPr id="1161657" name="aa17059i-v"/>
        <xdr:cNvSpPr/>
      </xdr:nvSpPr>
      <xdr:spPr bwMode="auto">
        <a:xfrm>
          <a:off x="4546600" y="4014788"/>
          <a:ext cx="1320800" cy="247650"/>
        </a:xfrm>
        <a:prstGeom prst="homePlate">
          <a:avLst/>
        </a:prstGeom>
        <a:solidFill>
          <a:srgbClr val="FFEDC2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SAW1</a:t>
          </a:r>
          <a:r>
            <a:rPr lang="en-US" sz="1000" b="1"/>
            <a:t>  (87M)</a:t>
          </a:r>
        </a:p>
        <a:p>
          <a:pPr algn="ctr"/>
          <a:r>
            <a:rPr lang="en-US" sz="1000" b="1"/>
            <a:t>15/08@21:00-16/08@01:00</a:t>
          </a:r>
        </a:p>
        <a:p>
          <a:pPr algn="ctr"/>
          <a:r>
            <a:rPr lang="en-US" sz="1000" b="1"/>
            <a:t>UTC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14</xdr:col>
      <xdr:colOff>0</xdr:colOff>
      <xdr:row>17</xdr:row>
      <xdr:rowOff>60325</xdr:rowOff>
    </xdr:from>
    <xdr:to>
      <xdr:col>17</xdr:col>
      <xdr:colOff>271490</xdr:colOff>
      <xdr:row>18</xdr:row>
      <xdr:rowOff>77235</xdr:rowOff>
    </xdr:to>
    <xdr:sp macro="" textlink="">
      <xdr:nvSpPr>
        <xdr:cNvPr id="1161658" name="TextBox 1161657"/>
        <xdr:cNvSpPr txBox="1"/>
      </xdr:nvSpPr>
      <xdr:spPr>
        <a:xfrm>
          <a:off x="5867400" y="4013200"/>
          <a:ext cx="1414490" cy="264560"/>
        </a:xfrm>
        <a:prstGeom prst="rect">
          <a:avLst/>
        </a:prstGeom>
        <a:solidFill>
          <a:srgbClr val="FFEDC2">
            <a:alpha val="10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100"/>
            <a:t>21-01(D:0,L:200):UTC</a:t>
          </a:r>
        </a:p>
      </xdr:txBody>
    </xdr:sp>
    <xdr:clientData/>
  </xdr:twoCellAnchor>
  <xdr:twoCellAnchor>
    <xdr:from>
      <xdr:col>18</xdr:col>
      <xdr:colOff>279400</xdr:colOff>
      <xdr:row>23</xdr:row>
      <xdr:rowOff>0</xdr:rowOff>
    </xdr:from>
    <xdr:to>
      <xdr:col>25</xdr:col>
      <xdr:colOff>304800</xdr:colOff>
      <xdr:row>24</xdr:row>
      <xdr:rowOff>123825</xdr:rowOff>
    </xdr:to>
    <xdr:sp macro="" textlink="">
      <xdr:nvSpPr>
        <xdr:cNvPr id="1161659" name="0018s-v"/>
        <xdr:cNvSpPr/>
      </xdr:nvSpPr>
      <xdr:spPr bwMode="auto">
        <a:xfrm>
          <a:off x="7670800" y="5438775"/>
          <a:ext cx="2692400" cy="371475"/>
        </a:xfrm>
        <a:prstGeom prst="homePlate">
          <a:avLst/>
        </a:prstGeom>
        <a:solidFill>
          <a:srgbClr val="AEBCBD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HEUNG-A BANGKOK</a:t>
          </a:r>
          <a:r>
            <a:rPr lang="en-US" sz="1000" b="1"/>
            <a:t>  (173M)</a:t>
          </a:r>
        </a:p>
        <a:p>
          <a:pPr algn="ctr"/>
          <a:r>
            <a:rPr lang="en-US" sz="1000" b="1"/>
            <a:t>16/08@20:00-17/08@02:00</a:t>
          </a:r>
        </a:p>
        <a:p>
          <a:pPr algn="ctr"/>
          <a:r>
            <a:rPr lang="en-US" sz="1000" b="1"/>
            <a:t>KHS1-DISC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Discharge only</a:t>
          </a:r>
        </a:p>
      </xdr:txBody>
    </xdr:sp>
    <xdr:clientData/>
  </xdr:twoCellAnchor>
  <xdr:twoCellAnchor>
    <xdr:from>
      <xdr:col>24</xdr:col>
      <xdr:colOff>50800</xdr:colOff>
      <xdr:row>23</xdr:row>
      <xdr:rowOff>93490</xdr:rowOff>
    </xdr:from>
    <xdr:to>
      <xdr:col>25</xdr:col>
      <xdr:colOff>233929</xdr:colOff>
      <xdr:row>24</xdr:row>
      <xdr:rowOff>157336</xdr:rowOff>
    </xdr:to>
    <xdr:sp macro="" textlink="">
      <xdr:nvSpPr>
        <xdr:cNvPr id="1161660" name="TextBox 1161659"/>
        <xdr:cNvSpPr txBox="1"/>
      </xdr:nvSpPr>
      <xdr:spPr>
        <a:xfrm>
          <a:off x="9728200" y="5532265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30M</a:t>
          </a:r>
        </a:p>
      </xdr:txBody>
    </xdr:sp>
    <xdr:clientData/>
  </xdr:twoCellAnchor>
  <xdr:twoCellAnchor>
    <xdr:from>
      <xdr:col>18</xdr:col>
      <xdr:colOff>279400</xdr:colOff>
      <xdr:row>23</xdr:row>
      <xdr:rowOff>93490</xdr:rowOff>
    </xdr:from>
    <xdr:to>
      <xdr:col>20</xdr:col>
      <xdr:colOff>172516</xdr:colOff>
      <xdr:row>24</xdr:row>
      <xdr:rowOff>157336</xdr:rowOff>
    </xdr:to>
    <xdr:sp macro="" textlink="">
      <xdr:nvSpPr>
        <xdr:cNvPr id="1161661" name="TextBox 1161660"/>
        <xdr:cNvSpPr txBox="1"/>
      </xdr:nvSpPr>
      <xdr:spPr>
        <a:xfrm>
          <a:off x="7670800" y="5532265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203M</a:t>
          </a:r>
        </a:p>
      </xdr:txBody>
    </xdr:sp>
    <xdr:clientData/>
  </xdr:twoCellAnchor>
  <xdr:twoCellAnchor>
    <xdr:from>
      <xdr:col>35</xdr:col>
      <xdr:colOff>304800</xdr:colOff>
      <xdr:row>21</xdr:row>
      <xdr:rowOff>123825</xdr:rowOff>
    </xdr:from>
    <xdr:to>
      <xdr:col>45</xdr:col>
      <xdr:colOff>317500</xdr:colOff>
      <xdr:row>26</xdr:row>
      <xdr:rowOff>123825</xdr:rowOff>
    </xdr:to>
    <xdr:sp macro="" textlink="">
      <xdr:nvSpPr>
        <xdr:cNvPr id="1161662" name="1707s-v"/>
        <xdr:cNvSpPr/>
      </xdr:nvSpPr>
      <xdr:spPr bwMode="auto">
        <a:xfrm>
          <a:off x="14287500" y="5067300"/>
          <a:ext cx="3860800" cy="1238250"/>
        </a:xfrm>
        <a:prstGeom prst="homePlate">
          <a:avLst/>
        </a:prstGeom>
        <a:solidFill>
          <a:srgbClr val="D3A1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PORT ADELAIDE</a:t>
          </a:r>
          <a:r>
            <a:rPr lang="en-US" sz="1000" b="1"/>
            <a:t>  (200M)</a:t>
          </a:r>
        </a:p>
        <a:p>
          <a:pPr algn="ctr"/>
          <a:r>
            <a:rPr lang="en-US" sz="1000" b="1"/>
            <a:t>16/08@14:00-17/08@10:00</a:t>
          </a:r>
        </a:p>
        <a:p>
          <a:pPr algn="ctr"/>
          <a:r>
            <a:rPr lang="en-US" sz="1000" b="1"/>
            <a:t>ANX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WAIT CHECK</a:t>
          </a:r>
        </a:p>
      </xdr:txBody>
    </xdr:sp>
    <xdr:clientData/>
  </xdr:twoCellAnchor>
  <xdr:twoCellAnchor>
    <xdr:from>
      <xdr:col>44</xdr:col>
      <xdr:colOff>82550</xdr:colOff>
      <xdr:row>23</xdr:row>
      <xdr:rowOff>155402</xdr:rowOff>
    </xdr:from>
    <xdr:to>
      <xdr:col>45</xdr:col>
      <xdr:colOff>246629</xdr:colOff>
      <xdr:row>24</xdr:row>
      <xdr:rowOff>219248</xdr:rowOff>
    </xdr:to>
    <xdr:sp macro="" textlink="">
      <xdr:nvSpPr>
        <xdr:cNvPr id="1161663" name="TextBox 1161662"/>
        <xdr:cNvSpPr txBox="1"/>
      </xdr:nvSpPr>
      <xdr:spPr>
        <a:xfrm>
          <a:off x="17513300" y="5594177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80M</a:t>
          </a:r>
        </a:p>
      </xdr:txBody>
    </xdr:sp>
    <xdr:clientData/>
  </xdr:twoCellAnchor>
  <xdr:twoCellAnchor>
    <xdr:from>
      <xdr:col>35</xdr:col>
      <xdr:colOff>304800</xdr:colOff>
      <xdr:row>23</xdr:row>
      <xdr:rowOff>155402</xdr:rowOff>
    </xdr:from>
    <xdr:to>
      <xdr:col>37</xdr:col>
      <xdr:colOff>197916</xdr:colOff>
      <xdr:row>24</xdr:row>
      <xdr:rowOff>219248</xdr:rowOff>
    </xdr:to>
    <xdr:sp macro="" textlink="">
      <xdr:nvSpPr>
        <xdr:cNvPr id="1161664" name="TextBox 1161663"/>
        <xdr:cNvSpPr txBox="1"/>
      </xdr:nvSpPr>
      <xdr:spPr>
        <a:xfrm>
          <a:off x="14287500" y="5594177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280M</a:t>
          </a:r>
        </a:p>
      </xdr:txBody>
    </xdr:sp>
    <xdr:clientData/>
  </xdr:twoCellAnchor>
  <xdr:twoCellAnchor>
    <xdr:from>
      <xdr:col>18</xdr:col>
      <xdr:colOff>279400</xdr:colOff>
      <xdr:row>20</xdr:row>
      <xdr:rowOff>61913</xdr:rowOff>
    </xdr:from>
    <xdr:to>
      <xdr:col>25</xdr:col>
      <xdr:colOff>304800</xdr:colOff>
      <xdr:row>22</xdr:row>
      <xdr:rowOff>61913</xdr:rowOff>
    </xdr:to>
    <xdr:sp macro="" textlink="">
      <xdr:nvSpPr>
        <xdr:cNvPr id="1161665" name="0015s-0015n-v"/>
        <xdr:cNvSpPr/>
      </xdr:nvSpPr>
      <xdr:spPr bwMode="auto">
        <a:xfrm>
          <a:off x="7670800" y="4757738"/>
          <a:ext cx="2692400" cy="495300"/>
        </a:xfrm>
        <a:prstGeom prst="homePlate">
          <a:avLst/>
        </a:prstGeom>
        <a:solidFill>
          <a:srgbClr val="5475F7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HEUNG-A HOCHIMINH</a:t>
          </a:r>
          <a:r>
            <a:rPr lang="en-US" sz="1000" b="1"/>
            <a:t>  (173M)</a:t>
          </a:r>
        </a:p>
        <a:p>
          <a:pPr algn="ctr"/>
          <a:r>
            <a:rPr lang="en-US" sz="1000" b="1"/>
            <a:t>16/08@09:00-16/08@17:00</a:t>
          </a:r>
        </a:p>
        <a:p>
          <a:pPr algn="ctr"/>
          <a:r>
            <a:rPr lang="en-US" sz="1000" b="1"/>
            <a:t>KHS2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COMBINE</a:t>
          </a:r>
        </a:p>
      </xdr:txBody>
    </xdr:sp>
    <xdr:clientData/>
  </xdr:twoCellAnchor>
  <xdr:twoCellAnchor>
    <xdr:from>
      <xdr:col>24</xdr:col>
      <xdr:colOff>50800</xdr:colOff>
      <xdr:row>20</xdr:row>
      <xdr:rowOff>217315</xdr:rowOff>
    </xdr:from>
    <xdr:to>
      <xdr:col>25</xdr:col>
      <xdr:colOff>233929</xdr:colOff>
      <xdr:row>22</xdr:row>
      <xdr:rowOff>33511</xdr:rowOff>
    </xdr:to>
    <xdr:sp macro="" textlink="">
      <xdr:nvSpPr>
        <xdr:cNvPr id="1161666" name="TextBox 1161665"/>
        <xdr:cNvSpPr txBox="1"/>
      </xdr:nvSpPr>
      <xdr:spPr>
        <a:xfrm>
          <a:off x="9728200" y="4913140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30M</a:t>
          </a:r>
        </a:p>
      </xdr:txBody>
    </xdr:sp>
    <xdr:clientData/>
  </xdr:twoCellAnchor>
  <xdr:twoCellAnchor>
    <xdr:from>
      <xdr:col>18</xdr:col>
      <xdr:colOff>279400</xdr:colOff>
      <xdr:row>20</xdr:row>
      <xdr:rowOff>217315</xdr:rowOff>
    </xdr:from>
    <xdr:to>
      <xdr:col>20</xdr:col>
      <xdr:colOff>172516</xdr:colOff>
      <xdr:row>22</xdr:row>
      <xdr:rowOff>33511</xdr:rowOff>
    </xdr:to>
    <xdr:sp macro="" textlink="">
      <xdr:nvSpPr>
        <xdr:cNvPr id="1161667" name="TextBox 1161666"/>
        <xdr:cNvSpPr txBox="1"/>
      </xdr:nvSpPr>
      <xdr:spPr>
        <a:xfrm>
          <a:off x="7670800" y="4913140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203M</a:t>
          </a:r>
        </a:p>
      </xdr:txBody>
    </xdr:sp>
    <xdr:clientData/>
  </xdr:twoCellAnchor>
  <xdr:twoCellAnchor>
    <xdr:from>
      <xdr:col>4</xdr:col>
      <xdr:colOff>225425</xdr:colOff>
      <xdr:row>24</xdr:row>
      <xdr:rowOff>1032</xdr:rowOff>
    </xdr:from>
    <xdr:to>
      <xdr:col>18</xdr:col>
      <xdr:colOff>0</xdr:colOff>
      <xdr:row>28</xdr:row>
      <xdr:rowOff>0</xdr:rowOff>
    </xdr:to>
    <xdr:sp macro="" textlink="">
      <xdr:nvSpPr>
        <xdr:cNvPr id="1161668" name="1711-v-50"/>
        <xdr:cNvSpPr/>
      </xdr:nvSpPr>
      <xdr:spPr bwMode="auto">
        <a:xfrm>
          <a:off x="2197100" y="5687457"/>
          <a:ext cx="5194300" cy="989568"/>
        </a:xfrm>
        <a:prstGeom prst="homePlate">
          <a:avLst/>
        </a:prstGeom>
        <a:solidFill>
          <a:srgbClr val="CCFF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ALM VIETNAM</a:t>
          </a:r>
          <a:r>
            <a:rPr lang="en-US" sz="1000" b="1"/>
            <a:t>  (295M)</a:t>
          </a:r>
        </a:p>
        <a:p>
          <a:pPr algn="ctr"/>
          <a:r>
            <a:rPr lang="en-US" sz="1000" b="1"/>
            <a:t>17/08@00:01-17/08@16:00</a:t>
          </a:r>
        </a:p>
        <a:p>
          <a:pPr algn="ctr"/>
          <a:r>
            <a:rPr lang="en-US" sz="1000" b="1"/>
            <a:t>HORN-DISH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DISCHARGE ONLY</a:t>
          </a:r>
        </a:p>
      </xdr:txBody>
    </xdr:sp>
    <xdr:clientData/>
  </xdr:twoCellAnchor>
  <xdr:twoCellAnchor>
    <xdr:from>
      <xdr:col>16</xdr:col>
      <xdr:colOff>127000</xdr:colOff>
      <xdr:row>25</xdr:row>
      <xdr:rowOff>155918</xdr:rowOff>
    </xdr:from>
    <xdr:to>
      <xdr:col>18</xdr:col>
      <xdr:colOff>20116</xdr:colOff>
      <xdr:row>26</xdr:row>
      <xdr:rowOff>219764</xdr:rowOff>
    </xdr:to>
    <xdr:sp macro="" textlink="">
      <xdr:nvSpPr>
        <xdr:cNvPr id="1161669" name="TextBox 1161668"/>
        <xdr:cNvSpPr txBox="1"/>
      </xdr:nvSpPr>
      <xdr:spPr>
        <a:xfrm>
          <a:off x="6756400" y="6089993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240M</a:t>
          </a:r>
        </a:p>
      </xdr:txBody>
    </xdr:sp>
    <xdr:clientData/>
  </xdr:twoCellAnchor>
  <xdr:twoCellAnchor>
    <xdr:from>
      <xdr:col>4</xdr:col>
      <xdr:colOff>225425</xdr:colOff>
      <xdr:row>25</xdr:row>
      <xdr:rowOff>155918</xdr:rowOff>
    </xdr:from>
    <xdr:to>
      <xdr:col>6</xdr:col>
      <xdr:colOff>118541</xdr:colOff>
      <xdr:row>26</xdr:row>
      <xdr:rowOff>219764</xdr:rowOff>
    </xdr:to>
    <xdr:sp macro="" textlink="">
      <xdr:nvSpPr>
        <xdr:cNvPr id="1161670" name="TextBox 1161669"/>
        <xdr:cNvSpPr txBox="1"/>
      </xdr:nvSpPr>
      <xdr:spPr>
        <a:xfrm>
          <a:off x="2197100" y="6089993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535M</a:t>
          </a:r>
        </a:p>
      </xdr:txBody>
    </xdr:sp>
    <xdr:clientData/>
  </xdr:twoCellAnchor>
  <xdr:twoCellAnchor>
    <xdr:from>
      <xdr:col>36</xdr:col>
      <xdr:colOff>0</xdr:colOff>
      <xdr:row>27</xdr:row>
      <xdr:rowOff>61913</xdr:rowOff>
    </xdr:from>
    <xdr:to>
      <xdr:col>45</xdr:col>
      <xdr:colOff>317500</xdr:colOff>
      <xdr:row>32</xdr:row>
      <xdr:rowOff>185738</xdr:rowOff>
    </xdr:to>
    <xdr:sp macro="" textlink="">
      <xdr:nvSpPr>
        <xdr:cNvPr id="1161671" name="1743-1744-v"/>
        <xdr:cNvSpPr/>
      </xdr:nvSpPr>
      <xdr:spPr bwMode="auto">
        <a:xfrm>
          <a:off x="14363700" y="6491288"/>
          <a:ext cx="3784600" cy="1362075"/>
        </a:xfrm>
        <a:prstGeom prst="homePlate">
          <a:avLst/>
        </a:prstGeom>
        <a:solidFill>
          <a:srgbClr val="CCFF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SPIRIT OF CAPE TOWN</a:t>
          </a:r>
          <a:r>
            <a:rPr lang="en-US" sz="1000" b="1"/>
            <a:t>  (195M)</a:t>
          </a:r>
        </a:p>
        <a:p>
          <a:pPr algn="ctr"/>
          <a:r>
            <a:rPr lang="en-US" sz="1000" b="1"/>
            <a:t>17/08@13:00-18/08@11:00</a:t>
          </a:r>
        </a:p>
        <a:p>
          <a:pPr algn="ctr"/>
          <a:r>
            <a:rPr lang="en-US" sz="1000" b="1"/>
            <a:t>SE1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44</xdr:col>
      <xdr:colOff>82550</xdr:colOff>
      <xdr:row>29</xdr:row>
      <xdr:rowOff>155402</xdr:rowOff>
    </xdr:from>
    <xdr:to>
      <xdr:col>45</xdr:col>
      <xdr:colOff>246629</xdr:colOff>
      <xdr:row>30</xdr:row>
      <xdr:rowOff>219248</xdr:rowOff>
    </xdr:to>
    <xdr:sp macro="" textlink="">
      <xdr:nvSpPr>
        <xdr:cNvPr id="1161672" name="TextBox 1161671"/>
        <xdr:cNvSpPr txBox="1"/>
      </xdr:nvSpPr>
      <xdr:spPr>
        <a:xfrm>
          <a:off x="17513300" y="7080077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80M</a:t>
          </a:r>
        </a:p>
      </xdr:txBody>
    </xdr:sp>
    <xdr:clientData/>
  </xdr:twoCellAnchor>
  <xdr:twoCellAnchor>
    <xdr:from>
      <xdr:col>36</xdr:col>
      <xdr:colOff>0</xdr:colOff>
      <xdr:row>29</xdr:row>
      <xdr:rowOff>155402</xdr:rowOff>
    </xdr:from>
    <xdr:to>
      <xdr:col>37</xdr:col>
      <xdr:colOff>274116</xdr:colOff>
      <xdr:row>30</xdr:row>
      <xdr:rowOff>219248</xdr:rowOff>
    </xdr:to>
    <xdr:sp macro="" textlink="">
      <xdr:nvSpPr>
        <xdr:cNvPr id="1161673" name="TextBox 1161672"/>
        <xdr:cNvSpPr txBox="1"/>
      </xdr:nvSpPr>
      <xdr:spPr>
        <a:xfrm>
          <a:off x="14363700" y="7080077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275M</a:t>
          </a:r>
        </a:p>
      </xdr:txBody>
    </xdr:sp>
    <xdr:clientData/>
  </xdr:twoCellAnchor>
  <xdr:twoCellAnchor>
    <xdr:from>
      <xdr:col>4</xdr:col>
      <xdr:colOff>225425</xdr:colOff>
      <xdr:row>29</xdr:row>
      <xdr:rowOff>61913</xdr:rowOff>
    </xdr:from>
    <xdr:to>
      <xdr:col>11</xdr:col>
      <xdr:colOff>177800</xdr:colOff>
      <xdr:row>30</xdr:row>
      <xdr:rowOff>185738</xdr:rowOff>
    </xdr:to>
    <xdr:sp macro="" textlink="">
      <xdr:nvSpPr>
        <xdr:cNvPr id="1161674" name="1463s-v"/>
        <xdr:cNvSpPr/>
      </xdr:nvSpPr>
      <xdr:spPr bwMode="auto">
        <a:xfrm>
          <a:off x="2197100" y="6986588"/>
          <a:ext cx="2705100" cy="371475"/>
        </a:xfrm>
        <a:prstGeom prst="homePlate">
          <a:avLst/>
        </a:prstGeom>
        <a:solidFill>
          <a:srgbClr val="FFFF45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HAPPY BEE</a:t>
          </a:r>
          <a:r>
            <a:rPr lang="en-US" sz="1000" b="1"/>
            <a:t>  (172M)</a:t>
          </a:r>
        </a:p>
        <a:p>
          <a:pPr algn="ctr"/>
          <a:r>
            <a:rPr lang="en-US" sz="1000" b="1"/>
            <a:t>17/08@21:00-18/08@03:00</a:t>
          </a:r>
        </a:p>
        <a:p>
          <a:pPr algn="ctr"/>
          <a:r>
            <a:rPr lang="en-US" sz="1000" b="1"/>
            <a:t>NTX-DISC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WAITING CHECK</a:t>
          </a:r>
        </a:p>
      </xdr:txBody>
    </xdr:sp>
    <xdr:clientData/>
  </xdr:twoCellAnchor>
  <xdr:twoCellAnchor>
    <xdr:from>
      <xdr:col>9</xdr:col>
      <xdr:colOff>390525</xdr:colOff>
      <xdr:row>29</xdr:row>
      <xdr:rowOff>155402</xdr:rowOff>
    </xdr:from>
    <xdr:to>
      <xdr:col>11</xdr:col>
      <xdr:colOff>197916</xdr:colOff>
      <xdr:row>30</xdr:row>
      <xdr:rowOff>219248</xdr:rowOff>
    </xdr:to>
    <xdr:sp macro="" textlink="">
      <xdr:nvSpPr>
        <xdr:cNvPr id="1161675" name="TextBox 1161674"/>
        <xdr:cNvSpPr txBox="1"/>
      </xdr:nvSpPr>
      <xdr:spPr>
        <a:xfrm>
          <a:off x="4267200" y="7080077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363M</a:t>
          </a:r>
        </a:p>
      </xdr:txBody>
    </xdr:sp>
    <xdr:clientData/>
  </xdr:twoCellAnchor>
  <xdr:twoCellAnchor>
    <xdr:from>
      <xdr:col>4</xdr:col>
      <xdr:colOff>225425</xdr:colOff>
      <xdr:row>29</xdr:row>
      <xdr:rowOff>155402</xdr:rowOff>
    </xdr:from>
    <xdr:to>
      <xdr:col>6</xdr:col>
      <xdr:colOff>118541</xdr:colOff>
      <xdr:row>30</xdr:row>
      <xdr:rowOff>219248</xdr:rowOff>
    </xdr:to>
    <xdr:sp macro="" textlink="">
      <xdr:nvSpPr>
        <xdr:cNvPr id="1161676" name="TextBox 1161675"/>
        <xdr:cNvSpPr txBox="1"/>
      </xdr:nvSpPr>
      <xdr:spPr>
        <a:xfrm>
          <a:off x="2197100" y="7080077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535M</a:t>
          </a:r>
        </a:p>
      </xdr:txBody>
    </xdr:sp>
    <xdr:clientData/>
  </xdr:twoCellAnchor>
  <xdr:twoCellAnchor>
    <xdr:from>
      <xdr:col>0</xdr:col>
      <xdr:colOff>127000</xdr:colOff>
      <xdr:row>25</xdr:row>
      <xdr:rowOff>123825</xdr:rowOff>
    </xdr:from>
    <xdr:to>
      <xdr:col>0</xdr:col>
      <xdr:colOff>825500</xdr:colOff>
      <xdr:row>28</xdr:row>
      <xdr:rowOff>185738</xdr:rowOff>
    </xdr:to>
    <xdr:sp macro="" textlink="">
      <xdr:nvSpPr>
        <xdr:cNvPr id="1161677" name="1-v-26-27-28-43-44-67"/>
        <xdr:cNvSpPr/>
      </xdr:nvSpPr>
      <xdr:spPr bwMode="auto">
        <a:xfrm rot="10800000">
          <a:off x="127000" y="6057900"/>
          <a:ext cx="698500" cy="804863"/>
        </a:xfrm>
        <a:prstGeom prst="homePlate">
          <a:avLst/>
        </a:prstGeom>
        <a:solidFill>
          <a:srgbClr val="69FF12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UNI-PERFECT</a:t>
          </a:r>
          <a:r>
            <a:rPr lang="en-US" sz="1000" b="1"/>
            <a:t>  (182M)</a:t>
          </a:r>
        </a:p>
        <a:p>
          <a:pPr algn="ctr"/>
          <a:r>
            <a:rPr lang="en-US" sz="1000" b="1"/>
            <a:t>17/08@06:00-17/08@19:00</a:t>
          </a:r>
        </a:p>
        <a:p>
          <a:pPr algn="ctr"/>
          <a:r>
            <a:rPr lang="en-US" sz="1000" b="1"/>
            <a:t>B2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350M</a:t>
          </a:r>
        </a:p>
      </xdr:txBody>
    </xdr:sp>
    <xdr:clientData/>
  </xdr:twoCellAnchor>
  <xdr:twoCellAnchor>
    <xdr:from>
      <xdr:col>18</xdr:col>
      <xdr:colOff>279400</xdr:colOff>
      <xdr:row>25</xdr:row>
      <xdr:rowOff>61913</xdr:rowOff>
    </xdr:from>
    <xdr:to>
      <xdr:col>25</xdr:col>
      <xdr:colOff>304800</xdr:colOff>
      <xdr:row>27</xdr:row>
      <xdr:rowOff>185738</xdr:rowOff>
    </xdr:to>
    <xdr:sp macro="" textlink="">
      <xdr:nvSpPr>
        <xdr:cNvPr id="1161678" name="1706n-v-4"/>
        <xdr:cNvSpPr/>
      </xdr:nvSpPr>
      <xdr:spPr bwMode="auto">
        <a:xfrm>
          <a:off x="7670800" y="5995988"/>
          <a:ext cx="2692400" cy="619125"/>
        </a:xfrm>
        <a:prstGeom prst="homePlate">
          <a:avLst/>
        </a:prstGeom>
        <a:solidFill>
          <a:srgbClr val="26B0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KMTC TAIPEIS</a:t>
          </a:r>
          <a:r>
            <a:rPr lang="en-US" sz="1000" b="1"/>
            <a:t>  (173M)</a:t>
          </a:r>
        </a:p>
        <a:p>
          <a:pPr algn="ctr"/>
          <a:r>
            <a:rPr lang="en-US" sz="1000" b="1"/>
            <a:t>17/08@05:00-17/08@15:00</a:t>
          </a:r>
        </a:p>
        <a:p>
          <a:pPr algn="ctr"/>
          <a:r>
            <a:rPr lang="en-US" sz="1000" b="1"/>
            <a:t>VTS-LOAD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LOAD ONLY</a:t>
          </a:r>
        </a:p>
      </xdr:txBody>
    </xdr:sp>
    <xdr:clientData/>
  </xdr:twoCellAnchor>
  <xdr:twoCellAnchor>
    <xdr:from>
      <xdr:col>24</xdr:col>
      <xdr:colOff>50800</xdr:colOff>
      <xdr:row>26</xdr:row>
      <xdr:rowOff>31577</xdr:rowOff>
    </xdr:from>
    <xdr:to>
      <xdr:col>25</xdr:col>
      <xdr:colOff>233929</xdr:colOff>
      <xdr:row>27</xdr:row>
      <xdr:rowOff>95423</xdr:rowOff>
    </xdr:to>
    <xdr:sp macro="" textlink="">
      <xdr:nvSpPr>
        <xdr:cNvPr id="1161679" name="TextBox 1161678"/>
        <xdr:cNvSpPr txBox="1"/>
      </xdr:nvSpPr>
      <xdr:spPr>
        <a:xfrm>
          <a:off x="9728200" y="6213302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30M</a:t>
          </a:r>
        </a:p>
      </xdr:txBody>
    </xdr:sp>
    <xdr:clientData/>
  </xdr:twoCellAnchor>
  <xdr:twoCellAnchor>
    <xdr:from>
      <xdr:col>18</xdr:col>
      <xdr:colOff>279400</xdr:colOff>
      <xdr:row>26</xdr:row>
      <xdr:rowOff>31577</xdr:rowOff>
    </xdr:from>
    <xdr:to>
      <xdr:col>20</xdr:col>
      <xdr:colOff>172516</xdr:colOff>
      <xdr:row>27</xdr:row>
      <xdr:rowOff>95423</xdr:rowOff>
    </xdr:to>
    <xdr:sp macro="" textlink="">
      <xdr:nvSpPr>
        <xdr:cNvPr id="1161680" name="TextBox 1161679"/>
        <xdr:cNvSpPr txBox="1"/>
      </xdr:nvSpPr>
      <xdr:spPr>
        <a:xfrm>
          <a:off x="7670800" y="6213302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203M</a:t>
          </a:r>
        </a:p>
      </xdr:txBody>
    </xdr:sp>
    <xdr:clientData/>
  </xdr:twoCellAnchor>
  <xdr:twoCellAnchor>
    <xdr:from>
      <xdr:col>18</xdr:col>
      <xdr:colOff>317500</xdr:colOff>
      <xdr:row>34</xdr:row>
      <xdr:rowOff>0</xdr:rowOff>
    </xdr:from>
    <xdr:to>
      <xdr:col>25</xdr:col>
      <xdr:colOff>304800</xdr:colOff>
      <xdr:row>36</xdr:row>
      <xdr:rowOff>123825</xdr:rowOff>
    </xdr:to>
    <xdr:sp macro="" textlink="">
      <xdr:nvSpPr>
        <xdr:cNvPr id="1161681" name="1710n-v"/>
        <xdr:cNvSpPr/>
      </xdr:nvSpPr>
      <xdr:spPr bwMode="auto">
        <a:xfrm>
          <a:off x="7708900" y="8162925"/>
          <a:ext cx="2654300" cy="619125"/>
        </a:xfrm>
        <a:prstGeom prst="homePlate">
          <a:avLst/>
        </a:prstGeom>
        <a:solidFill>
          <a:srgbClr val="FF78D6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KMTC ULSAN</a:t>
          </a:r>
          <a:r>
            <a:rPr lang="en-US" sz="1000" b="1"/>
            <a:t>  (168M)</a:t>
          </a:r>
        </a:p>
        <a:p>
          <a:pPr algn="ctr"/>
          <a:r>
            <a:rPr lang="en-US" sz="1000" b="1"/>
            <a:t>18/08@16:00-19/08@02:00</a:t>
          </a:r>
        </a:p>
        <a:p>
          <a:pPr algn="ctr"/>
          <a:r>
            <a:rPr lang="en-US" sz="1000" b="1"/>
            <a:t>KTS-LOAD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LOAD ONLY</a:t>
          </a:r>
        </a:p>
      </xdr:txBody>
    </xdr:sp>
    <xdr:clientData/>
  </xdr:twoCellAnchor>
  <xdr:twoCellAnchor>
    <xdr:from>
      <xdr:col>24</xdr:col>
      <xdr:colOff>50800</xdr:colOff>
      <xdr:row>34</xdr:row>
      <xdr:rowOff>217315</xdr:rowOff>
    </xdr:from>
    <xdr:to>
      <xdr:col>25</xdr:col>
      <xdr:colOff>233929</xdr:colOff>
      <xdr:row>36</xdr:row>
      <xdr:rowOff>33511</xdr:rowOff>
    </xdr:to>
    <xdr:sp macro="" textlink="">
      <xdr:nvSpPr>
        <xdr:cNvPr id="1161682" name="TextBox 1161681"/>
        <xdr:cNvSpPr txBox="1"/>
      </xdr:nvSpPr>
      <xdr:spPr>
        <a:xfrm>
          <a:off x="9728200" y="8380240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30M</a:t>
          </a:r>
        </a:p>
      </xdr:txBody>
    </xdr:sp>
    <xdr:clientData/>
  </xdr:twoCellAnchor>
  <xdr:twoCellAnchor>
    <xdr:from>
      <xdr:col>18</xdr:col>
      <xdr:colOff>317500</xdr:colOff>
      <xdr:row>34</xdr:row>
      <xdr:rowOff>217315</xdr:rowOff>
    </xdr:from>
    <xdr:to>
      <xdr:col>20</xdr:col>
      <xdr:colOff>210616</xdr:colOff>
      <xdr:row>36</xdr:row>
      <xdr:rowOff>33511</xdr:rowOff>
    </xdr:to>
    <xdr:sp macro="" textlink="">
      <xdr:nvSpPr>
        <xdr:cNvPr id="1161683" name="TextBox 1161682"/>
        <xdr:cNvSpPr txBox="1"/>
      </xdr:nvSpPr>
      <xdr:spPr>
        <a:xfrm>
          <a:off x="7708900" y="8380240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198M</a:t>
          </a:r>
        </a:p>
      </xdr:txBody>
    </xdr:sp>
    <xdr:clientData/>
  </xdr:twoCellAnchor>
  <xdr:twoCellAnchor>
    <xdr:from>
      <xdr:col>18</xdr:col>
      <xdr:colOff>355600</xdr:colOff>
      <xdr:row>30</xdr:row>
      <xdr:rowOff>61913</xdr:rowOff>
    </xdr:from>
    <xdr:to>
      <xdr:col>25</xdr:col>
      <xdr:colOff>304800</xdr:colOff>
      <xdr:row>33</xdr:row>
      <xdr:rowOff>185738</xdr:rowOff>
    </xdr:to>
    <xdr:sp macro="" textlink="">
      <xdr:nvSpPr>
        <xdr:cNvPr id="1161684" name="1722-1723-v-7-16"/>
        <xdr:cNvSpPr/>
      </xdr:nvSpPr>
      <xdr:spPr bwMode="auto">
        <a:xfrm>
          <a:off x="7747000" y="7234238"/>
          <a:ext cx="2616200" cy="866775"/>
        </a:xfrm>
        <a:prstGeom prst="homePlate">
          <a:avLst/>
        </a:prstGeom>
        <a:solidFill>
          <a:srgbClr val="CCFF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TOVE MAERSK</a:t>
          </a:r>
          <a:r>
            <a:rPr lang="en-US" sz="1000" b="1"/>
            <a:t>  (163M)</a:t>
          </a:r>
        </a:p>
        <a:p>
          <a:pPr algn="ctr"/>
          <a:r>
            <a:rPr lang="en-US" sz="1000" b="1"/>
            <a:t>18/08@01:00-18/08@15:00</a:t>
          </a:r>
        </a:p>
        <a:p>
          <a:pPr algn="ctr"/>
          <a:r>
            <a:rPr lang="en-US" sz="1000" b="1"/>
            <a:t>TR1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24</xdr:col>
      <xdr:colOff>50800</xdr:colOff>
      <xdr:row>31</xdr:row>
      <xdr:rowOff>155402</xdr:rowOff>
    </xdr:from>
    <xdr:to>
      <xdr:col>25</xdr:col>
      <xdr:colOff>233929</xdr:colOff>
      <xdr:row>32</xdr:row>
      <xdr:rowOff>219248</xdr:rowOff>
    </xdr:to>
    <xdr:sp macro="" textlink="">
      <xdr:nvSpPr>
        <xdr:cNvPr id="1161685" name="TextBox 1161684"/>
        <xdr:cNvSpPr txBox="1"/>
      </xdr:nvSpPr>
      <xdr:spPr>
        <a:xfrm>
          <a:off x="9728200" y="7575377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30M</a:t>
          </a:r>
        </a:p>
      </xdr:txBody>
    </xdr:sp>
    <xdr:clientData/>
  </xdr:twoCellAnchor>
  <xdr:twoCellAnchor>
    <xdr:from>
      <xdr:col>18</xdr:col>
      <xdr:colOff>355600</xdr:colOff>
      <xdr:row>31</xdr:row>
      <xdr:rowOff>155402</xdr:rowOff>
    </xdr:from>
    <xdr:to>
      <xdr:col>20</xdr:col>
      <xdr:colOff>248716</xdr:colOff>
      <xdr:row>32</xdr:row>
      <xdr:rowOff>219248</xdr:rowOff>
    </xdr:to>
    <xdr:sp macro="" textlink="">
      <xdr:nvSpPr>
        <xdr:cNvPr id="1161686" name="TextBox 1161685"/>
        <xdr:cNvSpPr txBox="1"/>
      </xdr:nvSpPr>
      <xdr:spPr>
        <a:xfrm>
          <a:off x="7747000" y="7575377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193M</a:t>
          </a:r>
        </a:p>
      </xdr:txBody>
    </xdr:sp>
    <xdr:clientData/>
  </xdr:twoCellAnchor>
  <xdr:twoCellAnchor>
    <xdr:from>
      <xdr:col>5</xdr:col>
      <xdr:colOff>34925</xdr:colOff>
      <xdr:row>32</xdr:row>
      <xdr:rowOff>0</xdr:rowOff>
    </xdr:from>
    <xdr:to>
      <xdr:col>15</xdr:col>
      <xdr:colOff>114300</xdr:colOff>
      <xdr:row>44</xdr:row>
      <xdr:rowOff>0</xdr:rowOff>
    </xdr:to>
    <xdr:sp macro="" textlink="">
      <xdr:nvSpPr>
        <xdr:cNvPr id="1161687" name="723n-723s-v"/>
        <xdr:cNvSpPr/>
      </xdr:nvSpPr>
      <xdr:spPr bwMode="auto">
        <a:xfrm>
          <a:off x="2387600" y="7667625"/>
          <a:ext cx="3975100" cy="2971800"/>
        </a:xfrm>
        <a:prstGeom prst="homePlate">
          <a:avLst/>
        </a:prstGeom>
        <a:solidFill>
          <a:srgbClr val="CCFF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CARL SCHULTE</a:t>
          </a:r>
          <a:r>
            <a:rPr lang="en-US" sz="1000" b="1"/>
            <a:t>  (255M)</a:t>
          </a:r>
        </a:p>
        <a:p>
          <a:pPr algn="ctr"/>
          <a:r>
            <a:rPr lang="en-US" sz="1000" b="1"/>
            <a:t>18/08@08:00-20/08@08:00</a:t>
          </a:r>
        </a:p>
        <a:p>
          <a:pPr algn="ctr"/>
          <a:r>
            <a:rPr lang="en-US" sz="1000" b="1"/>
            <a:t>BOOM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13</xdr:col>
      <xdr:colOff>241300</xdr:colOff>
      <xdr:row>37</xdr:row>
      <xdr:rowOff>155402</xdr:rowOff>
    </xdr:from>
    <xdr:to>
      <xdr:col>15</xdr:col>
      <xdr:colOff>134416</xdr:colOff>
      <xdr:row>38</xdr:row>
      <xdr:rowOff>219248</xdr:rowOff>
    </xdr:to>
    <xdr:sp macro="" textlink="">
      <xdr:nvSpPr>
        <xdr:cNvPr id="1161688" name="TextBox 1161687"/>
        <xdr:cNvSpPr txBox="1"/>
      </xdr:nvSpPr>
      <xdr:spPr>
        <a:xfrm>
          <a:off x="5727700" y="9061277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268M</a:t>
          </a:r>
        </a:p>
      </xdr:txBody>
    </xdr:sp>
    <xdr:clientData/>
  </xdr:twoCellAnchor>
  <xdr:twoCellAnchor>
    <xdr:from>
      <xdr:col>5</xdr:col>
      <xdr:colOff>34925</xdr:colOff>
      <xdr:row>37</xdr:row>
      <xdr:rowOff>155402</xdr:rowOff>
    </xdr:from>
    <xdr:to>
      <xdr:col>6</xdr:col>
      <xdr:colOff>309041</xdr:colOff>
      <xdr:row>38</xdr:row>
      <xdr:rowOff>219248</xdr:rowOff>
    </xdr:to>
    <xdr:sp macro="" textlink="">
      <xdr:nvSpPr>
        <xdr:cNvPr id="1161689" name="TextBox 1161688"/>
        <xdr:cNvSpPr txBox="1"/>
      </xdr:nvSpPr>
      <xdr:spPr>
        <a:xfrm>
          <a:off x="2387600" y="9061277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523M</a:t>
          </a:r>
        </a:p>
      </xdr:txBody>
    </xdr:sp>
    <xdr:clientData/>
  </xdr:twoCellAnchor>
  <xdr:twoCellAnchor>
    <xdr:from>
      <xdr:col>0</xdr:col>
      <xdr:colOff>127000</xdr:colOff>
      <xdr:row>30</xdr:row>
      <xdr:rowOff>61913</xdr:rowOff>
    </xdr:from>
    <xdr:to>
      <xdr:col>3</xdr:col>
      <xdr:colOff>225425</xdr:colOff>
      <xdr:row>40</xdr:row>
      <xdr:rowOff>61913</xdr:rowOff>
    </xdr:to>
    <xdr:sp macro="" textlink="">
      <xdr:nvSpPr>
        <xdr:cNvPr id="1161690" name="1-v-26-27-28-43-44-67-68"/>
        <xdr:cNvSpPr/>
      </xdr:nvSpPr>
      <xdr:spPr bwMode="auto">
        <a:xfrm rot="10800000">
          <a:off x="127000" y="7234238"/>
          <a:ext cx="1689100" cy="2476500"/>
        </a:xfrm>
        <a:prstGeom prst="homePlate">
          <a:avLst/>
        </a:prstGeom>
        <a:solidFill>
          <a:srgbClr val="69FF12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SIMA GISELLE</a:t>
          </a:r>
          <a:r>
            <a:rPr lang="en-US" sz="1000" b="1"/>
            <a:t>  (240M)</a:t>
          </a:r>
        </a:p>
        <a:p>
          <a:pPr algn="ctr"/>
          <a:r>
            <a:rPr lang="en-US" sz="1000" b="1"/>
            <a:t>18/08@01:00-19/08@17:00</a:t>
          </a:r>
        </a:p>
        <a:p>
          <a:pPr algn="ctr"/>
          <a:r>
            <a:rPr lang="en-US" sz="1000" b="1"/>
            <a:t>B2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310M</a:t>
          </a:r>
        </a:p>
      </xdr:txBody>
    </xdr:sp>
    <xdr:clientData/>
  </xdr:twoCellAnchor>
  <xdr:twoCellAnchor>
    <xdr:from>
      <xdr:col>37</xdr:col>
      <xdr:colOff>12700</xdr:colOff>
      <xdr:row>33</xdr:row>
      <xdr:rowOff>0</xdr:rowOff>
    </xdr:from>
    <xdr:to>
      <xdr:col>45</xdr:col>
      <xdr:colOff>317500</xdr:colOff>
      <xdr:row>35</xdr:row>
      <xdr:rowOff>0</xdr:rowOff>
    </xdr:to>
    <xdr:sp macro="" textlink="">
      <xdr:nvSpPr>
        <xdr:cNvPr id="1161691" name="1710s-v"/>
        <xdr:cNvSpPr/>
      </xdr:nvSpPr>
      <xdr:spPr bwMode="auto">
        <a:xfrm>
          <a:off x="14757400" y="7915275"/>
          <a:ext cx="3390900" cy="495300"/>
        </a:xfrm>
        <a:prstGeom prst="homePlate">
          <a:avLst/>
        </a:prstGeom>
        <a:solidFill>
          <a:srgbClr val="5475F7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KMTC KEELUNG</a:t>
          </a:r>
          <a:r>
            <a:rPr lang="en-US" sz="1000" b="1"/>
            <a:t>  (169M)</a:t>
          </a:r>
        </a:p>
        <a:p>
          <a:pPr algn="ctr"/>
          <a:r>
            <a:rPr lang="en-US" sz="1000" b="1"/>
            <a:t>18/08@12:00-18/08@20:00</a:t>
          </a:r>
        </a:p>
        <a:p>
          <a:pPr algn="ctr"/>
          <a:r>
            <a:rPr lang="en-US" sz="1000" b="1"/>
            <a:t>KHS2-DISH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44</xdr:col>
      <xdr:colOff>82550</xdr:colOff>
      <xdr:row>33</xdr:row>
      <xdr:rowOff>155402</xdr:rowOff>
    </xdr:from>
    <xdr:to>
      <xdr:col>45</xdr:col>
      <xdr:colOff>246629</xdr:colOff>
      <xdr:row>34</xdr:row>
      <xdr:rowOff>219248</xdr:rowOff>
    </xdr:to>
    <xdr:sp macro="" textlink="">
      <xdr:nvSpPr>
        <xdr:cNvPr id="1161692" name="TextBox 1161691"/>
        <xdr:cNvSpPr txBox="1"/>
      </xdr:nvSpPr>
      <xdr:spPr>
        <a:xfrm>
          <a:off x="17513300" y="8070677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80M</a:t>
          </a:r>
        </a:p>
      </xdr:txBody>
    </xdr:sp>
    <xdr:clientData/>
  </xdr:twoCellAnchor>
  <xdr:twoCellAnchor>
    <xdr:from>
      <xdr:col>37</xdr:col>
      <xdr:colOff>12700</xdr:colOff>
      <xdr:row>33</xdr:row>
      <xdr:rowOff>155402</xdr:rowOff>
    </xdr:from>
    <xdr:to>
      <xdr:col>38</xdr:col>
      <xdr:colOff>286816</xdr:colOff>
      <xdr:row>34</xdr:row>
      <xdr:rowOff>219248</xdr:rowOff>
    </xdr:to>
    <xdr:sp macro="" textlink="">
      <xdr:nvSpPr>
        <xdr:cNvPr id="1161693" name="TextBox 1161692"/>
        <xdr:cNvSpPr txBox="1"/>
      </xdr:nvSpPr>
      <xdr:spPr>
        <a:xfrm>
          <a:off x="14757400" y="8070677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249M</a:t>
          </a:r>
        </a:p>
      </xdr:txBody>
    </xdr:sp>
    <xdr:clientData/>
  </xdr:twoCellAnchor>
  <xdr:twoCellAnchor>
    <xdr:from>
      <xdr:col>18</xdr:col>
      <xdr:colOff>292100</xdr:colOff>
      <xdr:row>40</xdr:row>
      <xdr:rowOff>185738</xdr:rowOff>
    </xdr:from>
    <xdr:to>
      <xdr:col>25</xdr:col>
      <xdr:colOff>304800</xdr:colOff>
      <xdr:row>43</xdr:row>
      <xdr:rowOff>61913</xdr:rowOff>
    </xdr:to>
    <xdr:sp macro="" textlink="">
      <xdr:nvSpPr>
        <xdr:cNvPr id="1161694" name="1463n-v"/>
        <xdr:cNvSpPr/>
      </xdr:nvSpPr>
      <xdr:spPr bwMode="auto">
        <a:xfrm>
          <a:off x="7683500" y="9834563"/>
          <a:ext cx="2679700" cy="619125"/>
        </a:xfrm>
        <a:prstGeom prst="homePlate">
          <a:avLst/>
        </a:prstGeom>
        <a:solidFill>
          <a:srgbClr val="FFFF45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HAPPY BEE</a:t>
          </a:r>
          <a:r>
            <a:rPr lang="en-US" sz="1000" b="1"/>
            <a:t>  (172M)</a:t>
          </a:r>
        </a:p>
        <a:p>
          <a:pPr algn="ctr"/>
          <a:r>
            <a:rPr lang="en-US" sz="1000" b="1"/>
            <a:t>19/08@19:00-20/08@05:00</a:t>
          </a:r>
        </a:p>
        <a:p>
          <a:pPr algn="ctr"/>
          <a:r>
            <a:rPr lang="en-US" sz="1000" b="1"/>
            <a:t>NTX-LOAD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LOAD ONLY</a:t>
          </a:r>
        </a:p>
      </xdr:txBody>
    </xdr:sp>
    <xdr:clientData/>
  </xdr:twoCellAnchor>
  <xdr:twoCellAnchor>
    <xdr:from>
      <xdr:col>24</xdr:col>
      <xdr:colOff>50800</xdr:colOff>
      <xdr:row>41</xdr:row>
      <xdr:rowOff>155402</xdr:rowOff>
    </xdr:from>
    <xdr:to>
      <xdr:col>25</xdr:col>
      <xdr:colOff>233929</xdr:colOff>
      <xdr:row>42</xdr:row>
      <xdr:rowOff>219248</xdr:rowOff>
    </xdr:to>
    <xdr:sp macro="" textlink="">
      <xdr:nvSpPr>
        <xdr:cNvPr id="1161695" name="TextBox 1161694"/>
        <xdr:cNvSpPr txBox="1"/>
      </xdr:nvSpPr>
      <xdr:spPr>
        <a:xfrm>
          <a:off x="9728200" y="10051877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30M</a:t>
          </a:r>
        </a:p>
      </xdr:txBody>
    </xdr:sp>
    <xdr:clientData/>
  </xdr:twoCellAnchor>
  <xdr:twoCellAnchor>
    <xdr:from>
      <xdr:col>18</xdr:col>
      <xdr:colOff>292100</xdr:colOff>
      <xdr:row>41</xdr:row>
      <xdr:rowOff>155402</xdr:rowOff>
    </xdr:from>
    <xdr:to>
      <xdr:col>20</xdr:col>
      <xdr:colOff>185216</xdr:colOff>
      <xdr:row>42</xdr:row>
      <xdr:rowOff>219248</xdr:rowOff>
    </xdr:to>
    <xdr:sp macro="" textlink="">
      <xdr:nvSpPr>
        <xdr:cNvPr id="1161696" name="TextBox 1161695"/>
        <xdr:cNvSpPr txBox="1"/>
      </xdr:nvSpPr>
      <xdr:spPr>
        <a:xfrm>
          <a:off x="7683500" y="10051877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202M</a:t>
          </a:r>
        </a:p>
      </xdr:txBody>
    </xdr:sp>
    <xdr:clientData/>
  </xdr:twoCellAnchor>
  <xdr:twoCellAnchor>
    <xdr:from>
      <xdr:col>0</xdr:col>
      <xdr:colOff>127000</xdr:colOff>
      <xdr:row>40</xdr:row>
      <xdr:rowOff>185738</xdr:rowOff>
    </xdr:from>
    <xdr:to>
      <xdr:col>3</xdr:col>
      <xdr:colOff>225425</xdr:colOff>
      <xdr:row>47</xdr:row>
      <xdr:rowOff>0</xdr:rowOff>
    </xdr:to>
    <xdr:sp macro="" textlink="">
      <xdr:nvSpPr>
        <xdr:cNvPr id="1161697" name="b2-v"/>
        <xdr:cNvSpPr/>
      </xdr:nvSpPr>
      <xdr:spPr bwMode="auto">
        <a:xfrm rot="10800000">
          <a:off x="127000" y="9834563"/>
          <a:ext cx="1689100" cy="1547812"/>
        </a:xfrm>
        <a:prstGeom prst="homePlate">
          <a:avLst/>
        </a:prstGeom>
        <a:solidFill>
          <a:srgbClr val="69FF12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XXX</a:t>
          </a:r>
          <a:r>
            <a:rPr lang="en-US" sz="1000" b="1"/>
            <a:t>  (294M)</a:t>
          </a:r>
        </a:p>
        <a:p>
          <a:pPr algn="ctr"/>
          <a:r>
            <a:rPr lang="en-US" sz="1000" b="1"/>
            <a:t>19/08@19:00-20/08@20:00</a:t>
          </a:r>
        </a:p>
        <a:p>
          <a:pPr algn="ctr"/>
          <a:r>
            <a:rPr lang="en-US" sz="1000" b="1"/>
            <a:t>B2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310M</a:t>
          </a:r>
        </a:p>
      </xdr:txBody>
    </xdr:sp>
    <xdr:clientData/>
  </xdr:twoCellAnchor>
  <xdr:twoCellAnchor>
    <xdr:from>
      <xdr:col>4</xdr:col>
      <xdr:colOff>225425</xdr:colOff>
      <xdr:row>44</xdr:row>
      <xdr:rowOff>123825</xdr:rowOff>
    </xdr:from>
    <xdr:to>
      <xdr:col>18</xdr:col>
      <xdr:colOff>0</xdr:colOff>
      <xdr:row>47</xdr:row>
      <xdr:rowOff>238125</xdr:rowOff>
    </xdr:to>
    <xdr:sp macro="" textlink="">
      <xdr:nvSpPr>
        <xdr:cNvPr id="1161698" name="1711-v"/>
        <xdr:cNvSpPr/>
      </xdr:nvSpPr>
      <xdr:spPr bwMode="auto">
        <a:xfrm>
          <a:off x="2197100" y="10763250"/>
          <a:ext cx="5194300" cy="857250"/>
        </a:xfrm>
        <a:prstGeom prst="homePlate">
          <a:avLst/>
        </a:prstGeom>
        <a:solidFill>
          <a:srgbClr val="CCFFFF"/>
        </a:solidFill>
        <a:ln w="25400" cap="flat" cmpd="sng" algn="ctr">
          <a:solidFill>
            <a:srgbClr val="FF0000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ALM VIETNAM</a:t>
          </a:r>
          <a:r>
            <a:rPr lang="en-US" sz="1000" b="1"/>
            <a:t>  (295M)</a:t>
          </a:r>
        </a:p>
        <a:p>
          <a:pPr algn="ctr"/>
          <a:r>
            <a:rPr lang="en-US" sz="1000" b="1"/>
            <a:t>20/08@10:00-21/08@10:00</a:t>
          </a:r>
        </a:p>
        <a:p>
          <a:pPr algn="ctr"/>
          <a:r>
            <a:rPr lang="en-US" sz="1000" b="1"/>
            <a:t>HORN-LOAD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LOAD ONLY</a:t>
          </a:r>
        </a:p>
      </xdr:txBody>
    </xdr:sp>
    <xdr:clientData/>
  </xdr:twoCellAnchor>
  <xdr:twoCellAnchor>
    <xdr:from>
      <xdr:col>16</xdr:col>
      <xdr:colOff>127000</xdr:colOff>
      <xdr:row>45</xdr:row>
      <xdr:rowOff>212552</xdr:rowOff>
    </xdr:from>
    <xdr:to>
      <xdr:col>18</xdr:col>
      <xdr:colOff>20116</xdr:colOff>
      <xdr:row>47</xdr:row>
      <xdr:rowOff>28748</xdr:rowOff>
    </xdr:to>
    <xdr:sp macro="" textlink="">
      <xdr:nvSpPr>
        <xdr:cNvPr id="1161699" name="TextBox 1161698"/>
        <xdr:cNvSpPr txBox="1"/>
      </xdr:nvSpPr>
      <xdr:spPr>
        <a:xfrm>
          <a:off x="6756400" y="11099627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240M</a:t>
          </a:r>
        </a:p>
      </xdr:txBody>
    </xdr:sp>
    <xdr:clientData/>
  </xdr:twoCellAnchor>
  <xdr:twoCellAnchor>
    <xdr:from>
      <xdr:col>4</xdr:col>
      <xdr:colOff>225425</xdr:colOff>
      <xdr:row>45</xdr:row>
      <xdr:rowOff>212552</xdr:rowOff>
    </xdr:from>
    <xdr:to>
      <xdr:col>6</xdr:col>
      <xdr:colOff>118541</xdr:colOff>
      <xdr:row>47</xdr:row>
      <xdr:rowOff>28748</xdr:rowOff>
    </xdr:to>
    <xdr:sp macro="" textlink="">
      <xdr:nvSpPr>
        <xdr:cNvPr id="1161700" name="TextBox 1161699"/>
        <xdr:cNvSpPr txBox="1"/>
      </xdr:nvSpPr>
      <xdr:spPr>
        <a:xfrm>
          <a:off x="2197100" y="11099627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535M</a:t>
          </a:r>
        </a:p>
      </xdr:txBody>
    </xdr:sp>
    <xdr:clientData/>
  </xdr:twoCellAnchor>
  <xdr:twoCellAnchor>
    <xdr:from>
      <xdr:col>18</xdr:col>
      <xdr:colOff>292100</xdr:colOff>
      <xdr:row>46</xdr:row>
      <xdr:rowOff>61913</xdr:rowOff>
    </xdr:from>
    <xdr:to>
      <xdr:col>25</xdr:col>
      <xdr:colOff>304800</xdr:colOff>
      <xdr:row>47</xdr:row>
      <xdr:rowOff>185738</xdr:rowOff>
    </xdr:to>
    <xdr:sp macro="" textlink="">
      <xdr:nvSpPr>
        <xdr:cNvPr id="1161701" name="1711s-v"/>
        <xdr:cNvSpPr/>
      </xdr:nvSpPr>
      <xdr:spPr bwMode="auto">
        <a:xfrm>
          <a:off x="7683500" y="11196638"/>
          <a:ext cx="2679700" cy="371475"/>
        </a:xfrm>
        <a:prstGeom prst="homePlate">
          <a:avLst/>
        </a:prstGeom>
        <a:solidFill>
          <a:srgbClr val="26B0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SKY ORION</a:t>
          </a:r>
          <a:r>
            <a:rPr lang="en-US" sz="1000" b="1"/>
            <a:t>  (172M)</a:t>
          </a:r>
        </a:p>
        <a:p>
          <a:pPr algn="ctr"/>
          <a:r>
            <a:rPr lang="en-US" sz="1000" b="1"/>
            <a:t>20/08@17:00-20/08@23:00</a:t>
          </a:r>
        </a:p>
        <a:p>
          <a:pPr algn="ctr"/>
          <a:r>
            <a:rPr lang="en-US" sz="1000" b="1"/>
            <a:t>VTS-DISH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DISH ONLY</a:t>
          </a:r>
        </a:p>
      </xdr:txBody>
    </xdr:sp>
    <xdr:clientData/>
  </xdr:twoCellAnchor>
  <xdr:twoCellAnchor>
    <xdr:from>
      <xdr:col>24</xdr:col>
      <xdr:colOff>50800</xdr:colOff>
      <xdr:row>46</xdr:row>
      <xdr:rowOff>155402</xdr:rowOff>
    </xdr:from>
    <xdr:to>
      <xdr:col>25</xdr:col>
      <xdr:colOff>233929</xdr:colOff>
      <xdr:row>47</xdr:row>
      <xdr:rowOff>219248</xdr:rowOff>
    </xdr:to>
    <xdr:sp macro="" textlink="">
      <xdr:nvSpPr>
        <xdr:cNvPr id="1161702" name="TextBox 1161701"/>
        <xdr:cNvSpPr txBox="1"/>
      </xdr:nvSpPr>
      <xdr:spPr>
        <a:xfrm>
          <a:off x="9728200" y="11290127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30M</a:t>
          </a:r>
        </a:p>
      </xdr:txBody>
    </xdr:sp>
    <xdr:clientData/>
  </xdr:twoCellAnchor>
  <xdr:twoCellAnchor>
    <xdr:from>
      <xdr:col>18</xdr:col>
      <xdr:colOff>292100</xdr:colOff>
      <xdr:row>46</xdr:row>
      <xdr:rowOff>155402</xdr:rowOff>
    </xdr:from>
    <xdr:to>
      <xdr:col>20</xdr:col>
      <xdr:colOff>185216</xdr:colOff>
      <xdr:row>47</xdr:row>
      <xdr:rowOff>219248</xdr:rowOff>
    </xdr:to>
    <xdr:sp macro="" textlink="">
      <xdr:nvSpPr>
        <xdr:cNvPr id="1161703" name="TextBox 1161702"/>
        <xdr:cNvSpPr txBox="1"/>
      </xdr:nvSpPr>
      <xdr:spPr>
        <a:xfrm>
          <a:off x="7683500" y="11290127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202M</a:t>
          </a:r>
        </a:p>
      </xdr:txBody>
    </xdr:sp>
    <xdr:clientData/>
  </xdr:twoCellAnchor>
  <xdr:twoCellAnchor>
    <xdr:from>
      <xdr:col>37</xdr:col>
      <xdr:colOff>101600</xdr:colOff>
      <xdr:row>47</xdr:row>
      <xdr:rowOff>0</xdr:rowOff>
    </xdr:from>
    <xdr:to>
      <xdr:col>45</xdr:col>
      <xdr:colOff>317500</xdr:colOff>
      <xdr:row>47</xdr:row>
      <xdr:rowOff>238125</xdr:rowOff>
    </xdr:to>
    <xdr:sp macro="" textlink="">
      <xdr:nvSpPr>
        <xdr:cNvPr id="1161704" name="1722-1723-v-7-16-52"/>
        <xdr:cNvSpPr/>
      </xdr:nvSpPr>
      <xdr:spPr bwMode="auto">
        <a:xfrm>
          <a:off x="14846300" y="11382375"/>
          <a:ext cx="3302000" cy="238125"/>
        </a:xfrm>
        <a:prstGeom prst="homePlate">
          <a:avLst/>
        </a:prstGeom>
        <a:solidFill>
          <a:srgbClr val="CCFFFF"/>
        </a:solidFill>
        <a:ln w="25400" cap="flat" cmpd="sng" algn="ctr">
          <a:solidFill>
            <a:srgbClr val="FF0000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APOLLON D</a:t>
          </a:r>
          <a:r>
            <a:rPr lang="en-US" sz="1000" b="1"/>
            <a:t>  (163M)</a:t>
          </a:r>
        </a:p>
        <a:p>
          <a:pPr algn="ctr"/>
          <a:r>
            <a:rPr lang="en-US" sz="1000" b="1"/>
            <a:t>20/08@20:00-21/08@22:00</a:t>
          </a:r>
        </a:p>
        <a:p>
          <a:pPr algn="ctr"/>
          <a:r>
            <a:rPr lang="en-US" sz="1000" b="1"/>
            <a:t>IA2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44</xdr:col>
      <xdr:colOff>82550</xdr:colOff>
      <xdr:row>47</xdr:row>
      <xdr:rowOff>26815</xdr:rowOff>
    </xdr:from>
    <xdr:to>
      <xdr:col>45</xdr:col>
      <xdr:colOff>246629</xdr:colOff>
      <xdr:row>48</xdr:row>
      <xdr:rowOff>90661</xdr:rowOff>
    </xdr:to>
    <xdr:sp macro="" textlink="">
      <xdr:nvSpPr>
        <xdr:cNvPr id="1161705" name="TextBox 1161704"/>
        <xdr:cNvSpPr txBox="1"/>
      </xdr:nvSpPr>
      <xdr:spPr>
        <a:xfrm>
          <a:off x="17513300" y="11409190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80M</a:t>
          </a:r>
        </a:p>
      </xdr:txBody>
    </xdr:sp>
    <xdr:clientData/>
  </xdr:twoCellAnchor>
  <xdr:twoCellAnchor>
    <xdr:from>
      <xdr:col>37</xdr:col>
      <xdr:colOff>101600</xdr:colOff>
      <xdr:row>47</xdr:row>
      <xdr:rowOff>26815</xdr:rowOff>
    </xdr:from>
    <xdr:to>
      <xdr:col>38</xdr:col>
      <xdr:colOff>375716</xdr:colOff>
      <xdr:row>48</xdr:row>
      <xdr:rowOff>90661</xdr:rowOff>
    </xdr:to>
    <xdr:sp macro="" textlink="">
      <xdr:nvSpPr>
        <xdr:cNvPr id="1161706" name="TextBox 1161705"/>
        <xdr:cNvSpPr txBox="1"/>
      </xdr:nvSpPr>
      <xdr:spPr>
        <a:xfrm>
          <a:off x="14846300" y="11409190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243M</a:t>
          </a:r>
        </a:p>
      </xdr:txBody>
    </xdr:sp>
    <xdr:clientData/>
  </xdr:twoCellAnchor>
  <xdr:twoCellAnchor>
    <xdr:from>
      <xdr:col>36</xdr:col>
      <xdr:colOff>292100</xdr:colOff>
      <xdr:row>42</xdr:row>
      <xdr:rowOff>123825</xdr:rowOff>
    </xdr:from>
    <xdr:to>
      <xdr:col>45</xdr:col>
      <xdr:colOff>317500</xdr:colOff>
      <xdr:row>46</xdr:row>
      <xdr:rowOff>61913</xdr:rowOff>
    </xdr:to>
    <xdr:sp macro="" textlink="">
      <xdr:nvSpPr>
        <xdr:cNvPr id="1161707" name="1715-1716-v"/>
        <xdr:cNvSpPr/>
      </xdr:nvSpPr>
      <xdr:spPr bwMode="auto">
        <a:xfrm>
          <a:off x="14655800" y="10267950"/>
          <a:ext cx="3492500" cy="928688"/>
        </a:xfrm>
        <a:prstGeom prst="homePlate">
          <a:avLst/>
        </a:prstGeom>
        <a:solidFill>
          <a:srgbClr val="CCFF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MCC SEOUL</a:t>
          </a:r>
          <a:r>
            <a:rPr lang="en-US" sz="1000" b="1"/>
            <a:t>  (176M)</a:t>
          </a:r>
        </a:p>
        <a:p>
          <a:pPr algn="ctr"/>
          <a:r>
            <a:rPr lang="en-US" sz="1000" b="1"/>
            <a:t>20/08@02:00-20/08@17:00</a:t>
          </a:r>
        </a:p>
        <a:p>
          <a:pPr algn="ctr"/>
          <a:r>
            <a:rPr lang="en-US" sz="1000" b="1"/>
            <a:t>PH4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44</xdr:col>
      <xdr:colOff>82550</xdr:colOff>
      <xdr:row>44</xdr:row>
      <xdr:rowOff>621</xdr:rowOff>
    </xdr:from>
    <xdr:to>
      <xdr:col>45</xdr:col>
      <xdr:colOff>246629</xdr:colOff>
      <xdr:row>45</xdr:row>
      <xdr:rowOff>64467</xdr:rowOff>
    </xdr:to>
    <xdr:sp macro="" textlink="">
      <xdr:nvSpPr>
        <xdr:cNvPr id="1161708" name="TextBox 1161707"/>
        <xdr:cNvSpPr txBox="1"/>
      </xdr:nvSpPr>
      <xdr:spPr>
        <a:xfrm>
          <a:off x="17513300" y="10640046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80M</a:t>
          </a:r>
        </a:p>
      </xdr:txBody>
    </xdr:sp>
    <xdr:clientData/>
  </xdr:twoCellAnchor>
  <xdr:twoCellAnchor>
    <xdr:from>
      <xdr:col>36</xdr:col>
      <xdr:colOff>292100</xdr:colOff>
      <xdr:row>44</xdr:row>
      <xdr:rowOff>621</xdr:rowOff>
    </xdr:from>
    <xdr:to>
      <xdr:col>38</xdr:col>
      <xdr:colOff>185216</xdr:colOff>
      <xdr:row>45</xdr:row>
      <xdr:rowOff>64467</xdr:rowOff>
    </xdr:to>
    <xdr:sp macro="" textlink="">
      <xdr:nvSpPr>
        <xdr:cNvPr id="1161709" name="TextBox 1161708"/>
        <xdr:cNvSpPr txBox="1"/>
      </xdr:nvSpPr>
      <xdr:spPr>
        <a:xfrm>
          <a:off x="14655800" y="10640046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256M</a:t>
          </a:r>
        </a:p>
      </xdr:txBody>
    </xdr:sp>
    <xdr:clientData/>
  </xdr:twoCellAnchor>
  <xdr:twoCellAnchor>
    <xdr:from>
      <xdr:col>23</xdr:col>
      <xdr:colOff>228600</xdr:colOff>
      <xdr:row>43</xdr:row>
      <xdr:rowOff>123825</xdr:rowOff>
    </xdr:from>
    <xdr:to>
      <xdr:col>26</xdr:col>
      <xdr:colOff>355600</xdr:colOff>
      <xdr:row>46</xdr:row>
      <xdr:rowOff>0</xdr:rowOff>
    </xdr:to>
    <xdr:sp macro="" textlink="">
      <xdr:nvSpPr>
        <xdr:cNvPr id="1161710" name="1-v-26-27-28-43-44-67-68-69"/>
        <xdr:cNvSpPr txBox="1"/>
      </xdr:nvSpPr>
      <xdr:spPr>
        <a:xfrm>
          <a:off x="9525000" y="10515600"/>
          <a:ext cx="1270000" cy="619125"/>
        </a:xfrm>
        <a:prstGeom prst="rect">
          <a:avLst/>
        </a:prstGeom>
        <a:solidFill>
          <a:srgbClr val="898494"/>
        </a:solidFill>
        <a:ln w="9525" cmpd="sng">
          <a:solidFill>
            <a:prstClr val="black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/>
            <a:t>06:00-16:00</a:t>
          </a:r>
        </a:p>
        <a:p>
          <a:pPr algn="ctr"/>
          <a:r>
            <a:rPr lang="en-US" sz="1000"/>
            <a:t>Dreg</a:t>
          </a:r>
        </a:p>
        <a:p>
          <a:pPr algn="ctr"/>
          <a:endParaRPr lang="en-US" sz="1000"/>
        </a:p>
        <a:p>
          <a:pPr algn="ctr"/>
          <a:r>
            <a:rPr lang="en-US" sz="1000"/>
            <a:t>06.00-18.00HR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13606</xdr:colOff>
      <xdr:row>0</xdr:row>
      <xdr:rowOff>149678</xdr:rowOff>
    </xdr:from>
    <xdr:to>
      <xdr:col>14</xdr:col>
      <xdr:colOff>99331</xdr:colOff>
      <xdr:row>2</xdr:row>
      <xdr:rowOff>111578</xdr:rowOff>
    </xdr:to>
    <xdr:sp macro="" textlink="">
      <xdr:nvSpPr>
        <xdr:cNvPr id="2" name="BERTH"/>
        <xdr:cNvSpPr>
          <a:spLocks noChangeArrowheads="1" noChangeShapeType="1" noTextEdit="1"/>
        </xdr:cNvSpPr>
      </xdr:nvSpPr>
      <xdr:spPr bwMode="auto">
        <a:xfrm>
          <a:off x="3890281" y="149678"/>
          <a:ext cx="2076450" cy="285750"/>
        </a:xfrm>
        <a:prstGeom prst="rect">
          <a:avLst/>
        </a:prstGeom>
        <a:extLst/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sz="3600" kern="10" spc="0">
              <a:ln>
                <a:noFill/>
              </a:ln>
              <a:solidFill>
                <a:sysClr val="windowText" lastClr="000000"/>
              </a:solidFill>
              <a:effectLst>
                <a:outerShdw dist="45791" dir="2021404" algn="ctr" rotWithShape="0">
                  <a:srgbClr val="B2B2B2">
                    <a:alpha val="80000"/>
                  </a:srgbClr>
                </a:outerShdw>
              </a:effectLst>
              <a:latin typeface="Times New Roman"/>
              <a:cs typeface="Times New Roman"/>
            </a:rPr>
            <a:t>B. 1</a:t>
          </a:r>
          <a:endParaRPr lang="th-TH" sz="3600" kern="10" spc="0">
            <a:ln>
              <a:noFill/>
            </a:ln>
            <a:solidFill>
              <a:sysClr val="windowText" lastClr="000000"/>
            </a:solidFill>
            <a:effectLst>
              <a:outerShdw dist="45791" dir="2021404" algn="ctr" rotWithShape="0">
                <a:srgbClr val="B2B2B2">
                  <a:alpha val="80000"/>
                </a:srgbClr>
              </a:outerShdw>
            </a:effectLst>
            <a:latin typeface="Times New Roman"/>
          </a:endParaRPr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25</xdr:col>
      <xdr:colOff>85725</xdr:colOff>
      <xdr:row>2</xdr:row>
      <xdr:rowOff>125186</xdr:rowOff>
    </xdr:to>
    <xdr:sp macro="" textlink="">
      <xdr:nvSpPr>
        <xdr:cNvPr id="3" name="BERTH2"/>
        <xdr:cNvSpPr>
          <a:spLocks noChangeArrowheads="1" noChangeShapeType="1" noTextEdit="1"/>
        </xdr:cNvSpPr>
      </xdr:nvSpPr>
      <xdr:spPr bwMode="auto">
        <a:xfrm>
          <a:off x="8153400" y="161925"/>
          <a:ext cx="1990725" cy="287111"/>
        </a:xfrm>
        <a:prstGeom prst="rect">
          <a:avLst/>
        </a:prstGeom>
        <a:extLst/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sz="3600" kern="10" spc="0">
              <a:ln>
                <a:noFill/>
              </a:ln>
              <a:solidFill>
                <a:sysClr val="windowText" lastClr="000000"/>
              </a:solidFill>
              <a:effectLst>
                <a:outerShdw dist="45791" dir="2021404" algn="ctr" rotWithShape="0">
                  <a:srgbClr val="B2B2B2">
                    <a:alpha val="80000"/>
                  </a:srgbClr>
                </a:outerShdw>
              </a:effectLst>
              <a:latin typeface="Times New Roman"/>
              <a:cs typeface="Times New Roman"/>
            </a:rPr>
            <a:t>A. 0/1</a:t>
          </a:r>
          <a:endParaRPr lang="th-TH" sz="3600" kern="10" spc="0">
            <a:ln>
              <a:noFill/>
            </a:ln>
            <a:solidFill>
              <a:sysClr val="windowText" lastClr="000000"/>
            </a:solidFill>
            <a:effectLst>
              <a:outerShdw dist="45791" dir="2021404" algn="ctr" rotWithShape="0">
                <a:srgbClr val="B2B2B2">
                  <a:alpha val="80000"/>
                </a:srgbClr>
              </a:outerShdw>
            </a:effectLst>
            <a:latin typeface="Times New Roman"/>
          </a:endParaRPr>
        </a:p>
      </xdr:txBody>
    </xdr:sp>
    <xdr:clientData/>
  </xdr:twoCellAnchor>
  <xdr:twoCellAnchor>
    <xdr:from>
      <xdr:col>30</xdr:col>
      <xdr:colOff>231321</xdr:colOff>
      <xdr:row>1</xdr:row>
      <xdr:rowOff>0</xdr:rowOff>
    </xdr:from>
    <xdr:to>
      <xdr:col>35</xdr:col>
      <xdr:colOff>317046</xdr:colOff>
      <xdr:row>2</xdr:row>
      <xdr:rowOff>125186</xdr:rowOff>
    </xdr:to>
    <xdr:sp macro="" textlink="">
      <xdr:nvSpPr>
        <xdr:cNvPr id="4" name="BERTH3"/>
        <xdr:cNvSpPr>
          <a:spLocks noChangeArrowheads="1" noChangeShapeType="1" noTextEdit="1"/>
        </xdr:cNvSpPr>
      </xdr:nvSpPr>
      <xdr:spPr bwMode="auto">
        <a:xfrm>
          <a:off x="12309021" y="161925"/>
          <a:ext cx="1990725" cy="287111"/>
        </a:xfrm>
        <a:prstGeom prst="rect">
          <a:avLst/>
        </a:prstGeom>
        <a:extLst/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sz="3600" kern="10" spc="0">
              <a:ln>
                <a:noFill/>
              </a:ln>
              <a:solidFill>
                <a:sysClr val="windowText" lastClr="000000"/>
              </a:solidFill>
              <a:effectLst>
                <a:outerShdw dist="45791" dir="2021404" algn="ctr" rotWithShape="0">
                  <a:srgbClr val="B2B2B2">
                    <a:alpha val="80000"/>
                  </a:srgbClr>
                </a:outerShdw>
              </a:effectLst>
              <a:latin typeface="Times New Roman"/>
              <a:cs typeface="Times New Roman"/>
            </a:rPr>
            <a:t>A. 0</a:t>
          </a:r>
          <a:endParaRPr lang="th-TH" sz="3600" kern="10" spc="0">
            <a:ln>
              <a:noFill/>
            </a:ln>
            <a:solidFill>
              <a:sysClr val="windowText" lastClr="000000"/>
            </a:solidFill>
            <a:effectLst>
              <a:outerShdw dist="45791" dir="2021404" algn="ctr" rotWithShape="0">
                <a:srgbClr val="B2B2B2">
                  <a:alpha val="80000"/>
                </a:srgbClr>
              </a:outerShdw>
            </a:effectLst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0</xdr:row>
          <xdr:rowOff>66675</xdr:rowOff>
        </xdr:from>
        <xdr:to>
          <xdr:col>39</xdr:col>
          <xdr:colOff>28575</xdr:colOff>
          <xdr:row>2</xdr:row>
          <xdr:rowOff>95250</xdr:rowOff>
        </xdr:to>
        <xdr:sp macro="" textlink="">
          <xdr:nvSpPr>
            <xdr:cNvPr id="1154049" name="Button 1" hidden="1">
              <a:extLst>
                <a:ext uri="{63B3BB69-23CF-44E3-9099-C40C66FF867C}">
                  <a14:compatExt spid="_x0000_s1154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38100</xdr:colOff>
          <xdr:row>0</xdr:row>
          <xdr:rowOff>57150</xdr:rowOff>
        </xdr:from>
        <xdr:to>
          <xdr:col>41</xdr:col>
          <xdr:colOff>219075</xdr:colOff>
          <xdr:row>2</xdr:row>
          <xdr:rowOff>95250</xdr:rowOff>
        </xdr:to>
        <xdr:sp macro="" textlink="">
          <xdr:nvSpPr>
            <xdr:cNvPr id="1154050" name="Button 2" hidden="1">
              <a:extLst>
                <a:ext uri="{63B3BB69-23CF-44E3-9099-C40C66FF867C}">
                  <a14:compatExt spid="_x0000_s1154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257175</xdr:colOff>
          <xdr:row>0</xdr:row>
          <xdr:rowOff>57150</xdr:rowOff>
        </xdr:from>
        <xdr:to>
          <xdr:col>43</xdr:col>
          <xdr:colOff>361950</xdr:colOff>
          <xdr:row>2</xdr:row>
          <xdr:rowOff>95250</xdr:rowOff>
        </xdr:to>
        <xdr:sp macro="" textlink="">
          <xdr:nvSpPr>
            <xdr:cNvPr id="1154051" name="Button 3" hidden="1">
              <a:extLst>
                <a:ext uri="{63B3BB69-23CF-44E3-9099-C40C66FF867C}">
                  <a14:compatExt spid="_x0000_s1154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color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282121</xdr:colOff>
      <xdr:row>6</xdr:row>
      <xdr:rowOff>8164</xdr:rowOff>
    </xdr:from>
    <xdr:to>
      <xdr:col>25</xdr:col>
      <xdr:colOff>307521</xdr:colOff>
      <xdr:row>6</xdr:row>
      <xdr:rowOff>70077</xdr:rowOff>
    </xdr:to>
    <xdr:sp macro="" textlink="">
      <xdr:nvSpPr>
        <xdr:cNvPr id="1154106" name="0002s-v"/>
        <xdr:cNvSpPr/>
      </xdr:nvSpPr>
      <xdr:spPr bwMode="auto">
        <a:xfrm>
          <a:off x="7670800" y="1409700"/>
          <a:ext cx="2692400" cy="61913"/>
        </a:xfrm>
        <a:prstGeom prst="homePlate">
          <a:avLst/>
        </a:prstGeom>
        <a:solidFill>
          <a:srgbClr val="FFFF45"/>
        </a:solidFill>
        <a:ln w="25400" cap="flat" cmpd="sng" algn="ctr">
          <a:solidFill>
            <a:srgbClr val="FF0000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STARSHIP TAURUS</a:t>
          </a:r>
          <a:r>
            <a:rPr lang="en-US" sz="1000" b="1"/>
            <a:t>  (173M)</a:t>
          </a:r>
        </a:p>
        <a:p>
          <a:pPr algn="ctr"/>
          <a:r>
            <a:rPr lang="en-US" sz="1000" b="1"/>
            <a:t>11/08@15:00-12/08@01:00</a:t>
          </a:r>
        </a:p>
        <a:p>
          <a:pPr algn="ctr"/>
          <a:r>
            <a:rPr lang="en-US" sz="1000" b="1"/>
            <a:t>NTX-DISC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DISH ONLY</a:t>
          </a:r>
        </a:p>
      </xdr:txBody>
    </xdr:sp>
    <xdr:clientData/>
  </xdr:twoCellAnchor>
  <xdr:twoCellAnchor>
    <xdr:from>
      <xdr:col>24</xdr:col>
      <xdr:colOff>53521</xdr:colOff>
      <xdr:row>5</xdr:row>
      <xdr:rowOff>191801</xdr:rowOff>
    </xdr:from>
    <xdr:to>
      <xdr:col>25</xdr:col>
      <xdr:colOff>236650</xdr:colOff>
      <xdr:row>7</xdr:row>
      <xdr:rowOff>13440</xdr:rowOff>
    </xdr:to>
    <xdr:sp macro="" textlink="">
      <xdr:nvSpPr>
        <xdr:cNvPr id="1154107" name="TextBox 1154106"/>
        <xdr:cNvSpPr txBox="1"/>
      </xdr:nvSpPr>
      <xdr:spPr>
        <a:xfrm>
          <a:off x="9728200" y="1348408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30M</a:t>
          </a:r>
        </a:p>
      </xdr:txBody>
    </xdr:sp>
    <xdr:clientData/>
  </xdr:twoCellAnchor>
  <xdr:twoCellAnchor>
    <xdr:from>
      <xdr:col>18</xdr:col>
      <xdr:colOff>282121</xdr:colOff>
      <xdr:row>5</xdr:row>
      <xdr:rowOff>191801</xdr:rowOff>
    </xdr:from>
    <xdr:to>
      <xdr:col>20</xdr:col>
      <xdr:colOff>175237</xdr:colOff>
      <xdr:row>7</xdr:row>
      <xdr:rowOff>13440</xdr:rowOff>
    </xdr:to>
    <xdr:sp macro="" textlink="">
      <xdr:nvSpPr>
        <xdr:cNvPr id="1154108" name="TextBox 1154107"/>
        <xdr:cNvSpPr txBox="1"/>
      </xdr:nvSpPr>
      <xdr:spPr>
        <a:xfrm>
          <a:off x="7670800" y="1348408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203M</a:t>
          </a:r>
        </a:p>
      </xdr:txBody>
    </xdr:sp>
    <xdr:clientData/>
  </xdr:twoCellAnchor>
  <xdr:twoCellAnchor>
    <xdr:from>
      <xdr:col>37</xdr:col>
      <xdr:colOff>113393</xdr:colOff>
      <xdr:row>6</xdr:row>
      <xdr:rowOff>8164</xdr:rowOff>
    </xdr:from>
    <xdr:to>
      <xdr:col>45</xdr:col>
      <xdr:colOff>340179</xdr:colOff>
      <xdr:row>8</xdr:row>
      <xdr:rowOff>137432</xdr:rowOff>
    </xdr:to>
    <xdr:sp macro="" textlink="">
      <xdr:nvSpPr>
        <xdr:cNvPr id="1154109" name="0020n-v"/>
        <xdr:cNvSpPr/>
      </xdr:nvSpPr>
      <xdr:spPr bwMode="auto">
        <a:xfrm>
          <a:off x="15176500" y="1409700"/>
          <a:ext cx="3302000" cy="619125"/>
        </a:xfrm>
        <a:prstGeom prst="homePlate">
          <a:avLst/>
        </a:prstGeom>
        <a:solidFill>
          <a:srgbClr val="AEBCBD"/>
        </a:solidFill>
        <a:ln w="25400" cap="flat" cmpd="sng" algn="ctr">
          <a:solidFill>
            <a:srgbClr val="FF0000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MOUNT CAMERON</a:t>
          </a:r>
          <a:r>
            <a:rPr lang="en-US" sz="1000" b="1"/>
            <a:t>  (163M)</a:t>
          </a:r>
        </a:p>
        <a:p>
          <a:pPr algn="ctr"/>
          <a:r>
            <a:rPr lang="en-US" sz="1000" b="1"/>
            <a:t>11/08@22:00-12/08@10:00</a:t>
          </a:r>
        </a:p>
        <a:p>
          <a:pPr algn="ctr"/>
          <a:r>
            <a:rPr lang="en-US" sz="1000" b="1"/>
            <a:t>KHS1-LOAD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LOAD ONLY</a:t>
          </a:r>
        </a:p>
      </xdr:txBody>
    </xdr:sp>
    <xdr:clientData/>
  </xdr:twoCellAnchor>
  <xdr:twoCellAnchor>
    <xdr:from>
      <xdr:col>44</xdr:col>
      <xdr:colOff>99786</xdr:colOff>
      <xdr:row>6</xdr:row>
      <xdr:rowOff>225479</xdr:rowOff>
    </xdr:from>
    <xdr:to>
      <xdr:col>45</xdr:col>
      <xdr:colOff>269308</xdr:colOff>
      <xdr:row>8</xdr:row>
      <xdr:rowOff>47118</xdr:rowOff>
    </xdr:to>
    <xdr:sp macro="" textlink="">
      <xdr:nvSpPr>
        <xdr:cNvPr id="1154110" name="TextBox 1154109"/>
        <xdr:cNvSpPr txBox="1"/>
      </xdr:nvSpPr>
      <xdr:spPr>
        <a:xfrm>
          <a:off x="17843500" y="1627015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80M</a:t>
          </a:r>
        </a:p>
      </xdr:txBody>
    </xdr:sp>
    <xdr:clientData/>
  </xdr:twoCellAnchor>
  <xdr:twoCellAnchor>
    <xdr:from>
      <xdr:col>37</xdr:col>
      <xdr:colOff>113393</xdr:colOff>
      <xdr:row>6</xdr:row>
      <xdr:rowOff>225479</xdr:rowOff>
    </xdr:from>
    <xdr:to>
      <xdr:col>39</xdr:col>
      <xdr:colOff>6509</xdr:colOff>
      <xdr:row>8</xdr:row>
      <xdr:rowOff>47118</xdr:rowOff>
    </xdr:to>
    <xdr:sp macro="" textlink="">
      <xdr:nvSpPr>
        <xdr:cNvPr id="1154111" name="TextBox 1154110"/>
        <xdr:cNvSpPr txBox="1"/>
      </xdr:nvSpPr>
      <xdr:spPr>
        <a:xfrm>
          <a:off x="15176500" y="1627015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243M</a:t>
          </a:r>
        </a:p>
      </xdr:txBody>
    </xdr:sp>
    <xdr:clientData/>
  </xdr:twoCellAnchor>
  <xdr:twoCellAnchor>
    <xdr:from>
      <xdr:col>5</xdr:col>
      <xdr:colOff>224064</xdr:colOff>
      <xdr:row>6</xdr:row>
      <xdr:rowOff>8164</xdr:rowOff>
    </xdr:from>
    <xdr:to>
      <xdr:col>15</xdr:col>
      <xdr:colOff>307521</xdr:colOff>
      <xdr:row>11</xdr:row>
      <xdr:rowOff>21771</xdr:rowOff>
    </xdr:to>
    <xdr:sp macro="" textlink="">
      <xdr:nvSpPr>
        <xdr:cNvPr id="1154112" name="1710-v"/>
        <xdr:cNvSpPr/>
      </xdr:nvSpPr>
      <xdr:spPr bwMode="auto">
        <a:xfrm>
          <a:off x="2578100" y="1409700"/>
          <a:ext cx="3975100" cy="1238250"/>
        </a:xfrm>
        <a:prstGeom prst="homePlate">
          <a:avLst/>
        </a:prstGeom>
        <a:solidFill>
          <a:srgbClr val="CCFFFF"/>
        </a:solidFill>
        <a:ln w="25400" cap="flat" cmpd="sng" algn="ctr">
          <a:solidFill>
            <a:srgbClr val="FF0000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MAERSK INDUS</a:t>
          </a:r>
          <a:r>
            <a:rPr lang="en-US" sz="1000" b="1"/>
            <a:t>  (255M)</a:t>
          </a:r>
        </a:p>
        <a:p>
          <a:pPr algn="ctr"/>
          <a:r>
            <a:rPr lang="en-US" sz="1000" b="1"/>
            <a:t>11/08@13:00-12/08@20:00</a:t>
          </a:r>
        </a:p>
        <a:p>
          <a:pPr algn="ctr"/>
          <a:r>
            <a:rPr lang="en-US" sz="1000" b="1"/>
            <a:t>HORN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DUAL</a:t>
          </a:r>
        </a:p>
      </xdr:txBody>
    </xdr:sp>
    <xdr:clientData/>
  </xdr:twoCellAnchor>
  <xdr:twoCellAnchor>
    <xdr:from>
      <xdr:col>14</xdr:col>
      <xdr:colOff>53521</xdr:colOff>
      <xdr:row>8</xdr:row>
      <xdr:rowOff>45184</xdr:rowOff>
    </xdr:from>
    <xdr:to>
      <xdr:col>15</xdr:col>
      <xdr:colOff>327637</xdr:colOff>
      <xdr:row>9</xdr:row>
      <xdr:rowOff>111752</xdr:rowOff>
    </xdr:to>
    <xdr:sp macro="" textlink="">
      <xdr:nvSpPr>
        <xdr:cNvPr id="1154113" name="TextBox 1154112"/>
        <xdr:cNvSpPr txBox="1"/>
      </xdr:nvSpPr>
      <xdr:spPr>
        <a:xfrm>
          <a:off x="5918200" y="1936577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255M</a:t>
          </a:r>
        </a:p>
      </xdr:txBody>
    </xdr:sp>
    <xdr:clientData/>
  </xdr:twoCellAnchor>
  <xdr:twoCellAnchor>
    <xdr:from>
      <xdr:col>5</xdr:col>
      <xdr:colOff>224064</xdr:colOff>
      <xdr:row>8</xdr:row>
      <xdr:rowOff>45184</xdr:rowOff>
    </xdr:from>
    <xdr:to>
      <xdr:col>7</xdr:col>
      <xdr:colOff>117180</xdr:colOff>
      <xdr:row>9</xdr:row>
      <xdr:rowOff>111752</xdr:rowOff>
    </xdr:to>
    <xdr:sp macro="" textlink="">
      <xdr:nvSpPr>
        <xdr:cNvPr id="1154114" name="TextBox 1154113"/>
        <xdr:cNvSpPr txBox="1"/>
      </xdr:nvSpPr>
      <xdr:spPr>
        <a:xfrm>
          <a:off x="2578100" y="1936577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510M</a:t>
          </a:r>
        </a:p>
      </xdr:txBody>
    </xdr:sp>
    <xdr:clientData/>
  </xdr:twoCellAnchor>
  <xdr:twoCellAnchor>
    <xdr:from>
      <xdr:col>5</xdr:col>
      <xdr:colOff>224064</xdr:colOff>
      <xdr:row>11</xdr:row>
      <xdr:rowOff>207509</xdr:rowOff>
    </xdr:from>
    <xdr:to>
      <xdr:col>15</xdr:col>
      <xdr:colOff>307521</xdr:colOff>
      <xdr:row>17</xdr:row>
      <xdr:rowOff>279400</xdr:rowOff>
    </xdr:to>
    <xdr:sp macro="" textlink="">
      <xdr:nvSpPr>
        <xdr:cNvPr id="1154115" name="722n722s-v"/>
        <xdr:cNvSpPr/>
      </xdr:nvSpPr>
      <xdr:spPr bwMode="auto">
        <a:xfrm>
          <a:off x="2578100" y="2833688"/>
          <a:ext cx="3975100" cy="1827212"/>
        </a:xfrm>
        <a:prstGeom prst="homePlate">
          <a:avLst/>
        </a:prstGeom>
        <a:solidFill>
          <a:srgbClr val="CCFFFF"/>
        </a:solidFill>
        <a:ln w="25400" cap="flat" cmpd="sng" algn="ctr">
          <a:solidFill>
            <a:srgbClr val="FF0000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WIDE BRAVO</a:t>
          </a:r>
          <a:r>
            <a:rPr lang="en-US" sz="1000" b="1"/>
            <a:t>  (255M)</a:t>
          </a:r>
        </a:p>
        <a:p>
          <a:pPr algn="ctr"/>
          <a:r>
            <a:rPr lang="en-US" sz="1000" b="1"/>
            <a:t>12/08@23:00-14/08@22:00</a:t>
          </a:r>
        </a:p>
        <a:p>
          <a:pPr algn="ctr"/>
          <a:r>
            <a:rPr lang="en-US" sz="1000" b="1"/>
            <a:t>BOOM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CUT off SAT 05.00hrs</a:t>
          </a:r>
        </a:p>
      </xdr:txBody>
    </xdr:sp>
    <xdr:clientData/>
  </xdr:twoCellAnchor>
  <xdr:twoCellAnchor>
    <xdr:from>
      <xdr:col>14</xdr:col>
      <xdr:colOff>53521</xdr:colOff>
      <xdr:row>14</xdr:row>
      <xdr:rowOff>130796</xdr:rowOff>
    </xdr:from>
    <xdr:to>
      <xdr:col>15</xdr:col>
      <xdr:colOff>327637</xdr:colOff>
      <xdr:row>15</xdr:row>
      <xdr:rowOff>142935</xdr:rowOff>
    </xdr:to>
    <xdr:sp macro="" textlink="">
      <xdr:nvSpPr>
        <xdr:cNvPr id="1154116" name="TextBox 1154115"/>
        <xdr:cNvSpPr txBox="1"/>
      </xdr:nvSpPr>
      <xdr:spPr>
        <a:xfrm>
          <a:off x="5918200" y="3655046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255M</a:t>
          </a:r>
        </a:p>
      </xdr:txBody>
    </xdr:sp>
    <xdr:clientData/>
  </xdr:twoCellAnchor>
  <xdr:twoCellAnchor>
    <xdr:from>
      <xdr:col>5</xdr:col>
      <xdr:colOff>224064</xdr:colOff>
      <xdr:row>14</xdr:row>
      <xdr:rowOff>130796</xdr:rowOff>
    </xdr:from>
    <xdr:to>
      <xdr:col>7</xdr:col>
      <xdr:colOff>117180</xdr:colOff>
      <xdr:row>15</xdr:row>
      <xdr:rowOff>142935</xdr:rowOff>
    </xdr:to>
    <xdr:sp macro="" textlink="">
      <xdr:nvSpPr>
        <xdr:cNvPr id="1154117" name="TextBox 1154116"/>
        <xdr:cNvSpPr txBox="1"/>
      </xdr:nvSpPr>
      <xdr:spPr>
        <a:xfrm>
          <a:off x="2578100" y="3655046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510M</a:t>
          </a:r>
        </a:p>
      </xdr:txBody>
    </xdr:sp>
    <xdr:clientData/>
  </xdr:twoCellAnchor>
  <xdr:twoCellAnchor>
    <xdr:from>
      <xdr:col>0</xdr:col>
      <xdr:colOff>127000</xdr:colOff>
      <xdr:row>6</xdr:row>
      <xdr:rowOff>8164</xdr:rowOff>
    </xdr:from>
    <xdr:to>
      <xdr:col>3</xdr:col>
      <xdr:colOff>224064</xdr:colOff>
      <xdr:row>7</xdr:row>
      <xdr:rowOff>134711</xdr:rowOff>
    </xdr:to>
    <xdr:sp macro="" textlink="">
      <xdr:nvSpPr>
        <xdr:cNvPr id="1154118" name="3-v"/>
        <xdr:cNvSpPr/>
      </xdr:nvSpPr>
      <xdr:spPr bwMode="auto">
        <a:xfrm rot="10800000">
          <a:off x="127000" y="1409700"/>
          <a:ext cx="1689100" cy="371475"/>
        </a:xfrm>
        <a:prstGeom prst="homePlate">
          <a:avLst/>
        </a:prstGeom>
        <a:solidFill>
          <a:srgbClr val="69FF12"/>
        </a:solidFill>
        <a:ln w="25400" cap="flat" cmpd="sng" algn="ctr">
          <a:solidFill>
            <a:srgbClr val="FF0000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KOTA LAYAR</a:t>
          </a:r>
          <a:r>
            <a:rPr lang="en-US" sz="1000" b="1"/>
            <a:t>  (262M)</a:t>
          </a:r>
        </a:p>
        <a:p>
          <a:pPr algn="ctr"/>
          <a:r>
            <a:rPr lang="en-US" sz="1000" b="1"/>
            <a:t>11/08@01:00-12/08@06:00</a:t>
          </a:r>
        </a:p>
        <a:p>
          <a:pPr algn="ctr"/>
          <a:r>
            <a:rPr lang="en-US" sz="1000" b="1"/>
            <a:t>B2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310M</a:t>
          </a:r>
        </a:p>
      </xdr:txBody>
    </xdr:sp>
    <xdr:clientData/>
  </xdr:twoCellAnchor>
  <xdr:twoCellAnchor>
    <xdr:from>
      <xdr:col>0</xdr:col>
      <xdr:colOff>127000</xdr:colOff>
      <xdr:row>9</xdr:row>
      <xdr:rowOff>78242</xdr:rowOff>
    </xdr:from>
    <xdr:to>
      <xdr:col>3</xdr:col>
      <xdr:colOff>224064</xdr:colOff>
      <xdr:row>16</xdr:row>
      <xdr:rowOff>10886</xdr:rowOff>
    </xdr:to>
    <xdr:sp macro="" textlink="">
      <xdr:nvSpPr>
        <xdr:cNvPr id="1154119" name="4-v"/>
        <xdr:cNvSpPr/>
      </xdr:nvSpPr>
      <xdr:spPr bwMode="auto">
        <a:xfrm rot="10800000">
          <a:off x="127000" y="2214563"/>
          <a:ext cx="1689100" cy="1919287"/>
        </a:xfrm>
        <a:prstGeom prst="homePlate">
          <a:avLst/>
        </a:prstGeom>
        <a:solidFill>
          <a:srgbClr val="69FF12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ITAL LIRICA</a:t>
          </a:r>
          <a:r>
            <a:rPr lang="en-US" sz="1000" b="1"/>
            <a:t>  (294M)</a:t>
          </a:r>
        </a:p>
        <a:p>
          <a:pPr algn="ctr"/>
          <a:r>
            <a:rPr lang="en-US" sz="1000" b="1"/>
            <a:t>12/08@13:00-13/08@20:00</a:t>
          </a:r>
        </a:p>
        <a:p>
          <a:pPr algn="ctr"/>
          <a:r>
            <a:rPr lang="en-US" sz="1000" b="1"/>
            <a:t>B2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310M</a:t>
          </a:r>
        </a:p>
      </xdr:txBody>
    </xdr:sp>
    <xdr:clientData/>
  </xdr:twoCellAnchor>
  <xdr:twoCellAnchor>
    <xdr:from>
      <xdr:col>32</xdr:col>
      <xdr:colOff>227693</xdr:colOff>
      <xdr:row>6</xdr:row>
      <xdr:rowOff>70077</xdr:rowOff>
    </xdr:from>
    <xdr:to>
      <xdr:col>34</xdr:col>
      <xdr:colOff>380093</xdr:colOff>
      <xdr:row>7</xdr:row>
      <xdr:rowOff>196624</xdr:rowOff>
    </xdr:to>
    <xdr:sp macro="" textlink="">
      <xdr:nvSpPr>
        <xdr:cNvPr id="1154120" name="17097n-v"/>
        <xdr:cNvSpPr/>
      </xdr:nvSpPr>
      <xdr:spPr bwMode="auto">
        <a:xfrm>
          <a:off x="13385800" y="1471613"/>
          <a:ext cx="914400" cy="371475"/>
        </a:xfrm>
        <a:prstGeom prst="homePlate">
          <a:avLst/>
        </a:prstGeom>
        <a:solidFill>
          <a:srgbClr val="CCFF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NPL1</a:t>
          </a:r>
          <a:r>
            <a:rPr lang="en-US" sz="1000" b="1"/>
            <a:t>  (60M)</a:t>
          </a:r>
        </a:p>
        <a:p>
          <a:pPr algn="ctr"/>
          <a:r>
            <a:rPr lang="en-US" sz="1000" b="1"/>
            <a:t>12/08@01:00-12/08@07:00</a:t>
          </a:r>
        </a:p>
        <a:p>
          <a:pPr algn="ctr"/>
          <a:r>
            <a:rPr lang="en-US" sz="1000" b="1"/>
            <a:t>STT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32</xdr:col>
      <xdr:colOff>227693</xdr:colOff>
      <xdr:row>7</xdr:row>
      <xdr:rowOff>195036</xdr:rowOff>
    </xdr:from>
    <xdr:to>
      <xdr:col>36</xdr:col>
      <xdr:colOff>85994</xdr:colOff>
      <xdr:row>8</xdr:row>
      <xdr:rowOff>214667</xdr:rowOff>
    </xdr:to>
    <xdr:sp macro="" textlink="">
      <xdr:nvSpPr>
        <xdr:cNvPr id="1154121" name="TextBox 1154120"/>
        <xdr:cNvSpPr txBox="1"/>
      </xdr:nvSpPr>
      <xdr:spPr>
        <a:xfrm>
          <a:off x="13385800" y="1841500"/>
          <a:ext cx="1382301" cy="264560"/>
        </a:xfrm>
        <a:prstGeom prst="rect">
          <a:avLst/>
        </a:prstGeom>
        <a:solidFill>
          <a:srgbClr val="CCFFFF">
            <a:alpha val="10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100"/>
            <a:t>01-07(D:0,L:102):STT</a:t>
          </a:r>
        </a:p>
      </xdr:txBody>
    </xdr:sp>
    <xdr:clientData/>
  </xdr:twoCellAnchor>
  <xdr:twoCellAnchor>
    <xdr:from>
      <xdr:col>22</xdr:col>
      <xdr:colOff>180521</xdr:colOff>
      <xdr:row>6</xdr:row>
      <xdr:rowOff>131989</xdr:rowOff>
    </xdr:from>
    <xdr:to>
      <xdr:col>25</xdr:col>
      <xdr:colOff>307521</xdr:colOff>
      <xdr:row>8</xdr:row>
      <xdr:rowOff>13607</xdr:rowOff>
    </xdr:to>
    <xdr:sp macro="" textlink="">
      <xdr:nvSpPr>
        <xdr:cNvPr id="1154122" name="17040n-v"/>
        <xdr:cNvSpPr/>
      </xdr:nvSpPr>
      <xdr:spPr bwMode="auto">
        <a:xfrm>
          <a:off x="9093200" y="1533525"/>
          <a:ext cx="1270000" cy="371475"/>
        </a:xfrm>
        <a:prstGeom prst="homePlate">
          <a:avLst/>
        </a:prstGeom>
        <a:solidFill>
          <a:srgbClr val="FF6BC9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NG3</a:t>
          </a:r>
          <a:r>
            <a:rPr lang="en-US" sz="1000" b="1"/>
            <a:t>  (83M)</a:t>
          </a:r>
        </a:p>
        <a:p>
          <a:pPr algn="ctr"/>
          <a:r>
            <a:rPr lang="en-US" sz="1000" b="1"/>
            <a:t>12/08@02:00-12/08@08:00</a:t>
          </a:r>
        </a:p>
        <a:p>
          <a:pPr algn="ctr"/>
          <a:r>
            <a:rPr lang="en-US" sz="1000" b="1"/>
            <a:t>SCG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22</xdr:col>
      <xdr:colOff>180521</xdr:colOff>
      <xdr:row>8</xdr:row>
      <xdr:rowOff>13607</xdr:rowOff>
    </xdr:from>
    <xdr:to>
      <xdr:col>25</xdr:col>
      <xdr:colOff>375067</xdr:colOff>
      <xdr:row>9</xdr:row>
      <xdr:rowOff>33239</xdr:rowOff>
    </xdr:to>
    <xdr:sp macro="" textlink="">
      <xdr:nvSpPr>
        <xdr:cNvPr id="1154123" name="TextBox 1154122"/>
        <xdr:cNvSpPr txBox="1"/>
      </xdr:nvSpPr>
      <xdr:spPr>
        <a:xfrm>
          <a:off x="9093200" y="1905000"/>
          <a:ext cx="1337546" cy="264560"/>
        </a:xfrm>
        <a:prstGeom prst="rect">
          <a:avLst/>
        </a:prstGeom>
        <a:solidFill>
          <a:srgbClr val="FF6BC9">
            <a:alpha val="10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100"/>
            <a:t>02-08(D:40,L:0):SCG</a:t>
          </a:r>
        </a:p>
      </xdr:txBody>
    </xdr:sp>
    <xdr:clientData/>
  </xdr:twoCellAnchor>
  <xdr:twoCellAnchor>
    <xdr:from>
      <xdr:col>30</xdr:col>
      <xdr:colOff>291193</xdr:colOff>
      <xdr:row>8</xdr:row>
      <xdr:rowOff>137432</xdr:rowOff>
    </xdr:from>
    <xdr:to>
      <xdr:col>34</xdr:col>
      <xdr:colOff>316593</xdr:colOff>
      <xdr:row>9</xdr:row>
      <xdr:rowOff>140154</xdr:rowOff>
    </xdr:to>
    <xdr:sp macro="" textlink="">
      <xdr:nvSpPr>
        <xdr:cNvPr id="1154124" name="17039n-v"/>
        <xdr:cNvSpPr/>
      </xdr:nvSpPr>
      <xdr:spPr bwMode="auto">
        <a:xfrm>
          <a:off x="12687300" y="2028825"/>
          <a:ext cx="1549400" cy="247650"/>
        </a:xfrm>
        <a:prstGeom prst="homePlate">
          <a:avLst/>
        </a:prstGeom>
        <a:solidFill>
          <a:srgbClr val="FF6BC9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NG2</a:t>
          </a:r>
          <a:r>
            <a:rPr lang="en-US" sz="1000" b="1"/>
            <a:t>  (85M)</a:t>
          </a:r>
        </a:p>
        <a:p>
          <a:pPr algn="ctr"/>
          <a:r>
            <a:rPr lang="en-US" sz="1000" b="1"/>
            <a:t>12/08@10:00-12/08@14:00</a:t>
          </a:r>
        </a:p>
        <a:p>
          <a:pPr algn="ctr"/>
          <a:r>
            <a:rPr lang="en-US" sz="1000" b="1"/>
            <a:t>SCG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30</xdr:col>
      <xdr:colOff>291193</xdr:colOff>
      <xdr:row>9</xdr:row>
      <xdr:rowOff>136979</xdr:rowOff>
    </xdr:from>
    <xdr:to>
      <xdr:col>34</xdr:col>
      <xdr:colOff>104739</xdr:colOff>
      <xdr:row>10</xdr:row>
      <xdr:rowOff>156610</xdr:rowOff>
    </xdr:to>
    <xdr:sp macro="" textlink="">
      <xdr:nvSpPr>
        <xdr:cNvPr id="1154125" name="TextBox 1154124"/>
        <xdr:cNvSpPr txBox="1"/>
      </xdr:nvSpPr>
      <xdr:spPr>
        <a:xfrm>
          <a:off x="12687300" y="2273300"/>
          <a:ext cx="1337546" cy="264560"/>
        </a:xfrm>
        <a:prstGeom prst="rect">
          <a:avLst/>
        </a:prstGeom>
        <a:solidFill>
          <a:srgbClr val="FF6BC9">
            <a:alpha val="10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100"/>
            <a:t>10-14(D:33,L:0):SCG</a:t>
          </a:r>
        </a:p>
      </xdr:txBody>
    </xdr:sp>
    <xdr:clientData/>
  </xdr:twoCellAnchor>
  <xdr:twoCellAnchor>
    <xdr:from>
      <xdr:col>15</xdr:col>
      <xdr:colOff>371021</xdr:colOff>
      <xdr:row>6</xdr:row>
      <xdr:rowOff>131989</xdr:rowOff>
    </xdr:from>
    <xdr:to>
      <xdr:col>19</xdr:col>
      <xdr:colOff>2721</xdr:colOff>
      <xdr:row>8</xdr:row>
      <xdr:rowOff>13607</xdr:rowOff>
    </xdr:to>
    <xdr:sp macro="" textlink="">
      <xdr:nvSpPr>
        <xdr:cNvPr id="1154126" name="17096s-v"/>
        <xdr:cNvSpPr/>
      </xdr:nvSpPr>
      <xdr:spPr bwMode="auto">
        <a:xfrm>
          <a:off x="6616700" y="1533525"/>
          <a:ext cx="1155700" cy="371475"/>
        </a:xfrm>
        <a:prstGeom prst="homePlate">
          <a:avLst/>
        </a:prstGeom>
        <a:solidFill>
          <a:srgbClr val="CCFF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NPL1</a:t>
          </a:r>
          <a:r>
            <a:rPr lang="en-US" sz="1000" b="1"/>
            <a:t>  (60M)</a:t>
          </a:r>
        </a:p>
        <a:p>
          <a:pPr algn="ctr"/>
          <a:r>
            <a:rPr lang="en-US" sz="1000" b="1"/>
            <a:t>12/08@02:00-12/08@08:00</a:t>
          </a:r>
        </a:p>
        <a:p>
          <a:pPr algn="ctr"/>
          <a:r>
            <a:rPr lang="en-US" sz="1000" b="1"/>
            <a:t>STT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19</xdr:col>
      <xdr:colOff>2721</xdr:colOff>
      <xdr:row>6</xdr:row>
      <xdr:rowOff>135164</xdr:rowOff>
    </xdr:from>
    <xdr:to>
      <xdr:col>22</xdr:col>
      <xdr:colOff>170529</xdr:colOff>
      <xdr:row>7</xdr:row>
      <xdr:rowOff>154796</xdr:rowOff>
    </xdr:to>
    <xdr:sp macro="" textlink="">
      <xdr:nvSpPr>
        <xdr:cNvPr id="1154127" name="TextBox 1154126"/>
        <xdr:cNvSpPr txBox="1"/>
      </xdr:nvSpPr>
      <xdr:spPr>
        <a:xfrm>
          <a:off x="7772400" y="1536700"/>
          <a:ext cx="1310808" cy="264560"/>
        </a:xfrm>
        <a:prstGeom prst="rect">
          <a:avLst/>
        </a:prstGeom>
        <a:solidFill>
          <a:srgbClr val="CCFFFF">
            <a:alpha val="10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100"/>
            <a:t>02-08(D:95,L:0):STT</a:t>
          </a:r>
        </a:p>
      </xdr:txBody>
    </xdr:sp>
    <xdr:clientData/>
  </xdr:twoCellAnchor>
  <xdr:twoCellAnchor>
    <xdr:from>
      <xdr:col>17</xdr:col>
      <xdr:colOff>2721</xdr:colOff>
      <xdr:row>8</xdr:row>
      <xdr:rowOff>13607</xdr:rowOff>
    </xdr:from>
    <xdr:to>
      <xdr:col>18</xdr:col>
      <xdr:colOff>345621</xdr:colOff>
      <xdr:row>9</xdr:row>
      <xdr:rowOff>78242</xdr:rowOff>
    </xdr:to>
    <xdr:sp macro="" textlink="">
      <xdr:nvSpPr>
        <xdr:cNvPr id="1154128" name="17054s-v"/>
        <xdr:cNvSpPr/>
      </xdr:nvSpPr>
      <xdr:spPr bwMode="auto">
        <a:xfrm>
          <a:off x="7010400" y="1905000"/>
          <a:ext cx="723900" cy="309563"/>
        </a:xfrm>
        <a:prstGeom prst="homePlate">
          <a:avLst/>
        </a:prstGeom>
        <a:solidFill>
          <a:srgbClr val="CCFF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NRR</a:t>
          </a:r>
          <a:r>
            <a:rPr lang="en-US" sz="1000" b="1"/>
            <a:t>  (50M)</a:t>
          </a:r>
        </a:p>
        <a:p>
          <a:pPr algn="ctr"/>
          <a:r>
            <a:rPr lang="en-US" sz="1000" b="1"/>
            <a:t>12/08@08:00-12/08@13:00</a:t>
          </a:r>
        </a:p>
        <a:p>
          <a:pPr algn="ctr"/>
          <a:r>
            <a:rPr lang="en-US" sz="1000" b="1"/>
            <a:t>STT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18</xdr:col>
      <xdr:colOff>345621</xdr:colOff>
      <xdr:row>8</xdr:row>
      <xdr:rowOff>13607</xdr:rowOff>
    </xdr:from>
    <xdr:to>
      <xdr:col>22</xdr:col>
      <xdr:colOff>132429</xdr:colOff>
      <xdr:row>9</xdr:row>
      <xdr:rowOff>33239</xdr:rowOff>
    </xdr:to>
    <xdr:sp macro="" textlink="">
      <xdr:nvSpPr>
        <xdr:cNvPr id="1154129" name="TextBox 1154128"/>
        <xdr:cNvSpPr txBox="1"/>
      </xdr:nvSpPr>
      <xdr:spPr>
        <a:xfrm>
          <a:off x="7734300" y="1905000"/>
          <a:ext cx="1310808" cy="264560"/>
        </a:xfrm>
        <a:prstGeom prst="rect">
          <a:avLst/>
        </a:prstGeom>
        <a:solidFill>
          <a:srgbClr val="CCFFFF">
            <a:alpha val="10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100"/>
            <a:t>08-13(D:62,L:0):STT</a:t>
          </a:r>
        </a:p>
      </xdr:txBody>
    </xdr:sp>
    <xdr:clientData/>
  </xdr:twoCellAnchor>
  <xdr:twoCellAnchor>
    <xdr:from>
      <xdr:col>36</xdr:col>
      <xdr:colOff>62593</xdr:colOff>
      <xdr:row>9</xdr:row>
      <xdr:rowOff>16329</xdr:rowOff>
    </xdr:from>
    <xdr:to>
      <xdr:col>38</xdr:col>
      <xdr:colOff>380093</xdr:colOff>
      <xdr:row>10</xdr:row>
      <xdr:rowOff>19050</xdr:rowOff>
    </xdr:to>
    <xdr:sp macro="" textlink="">
      <xdr:nvSpPr>
        <xdr:cNvPr id="1154130" name="17004i-v"/>
        <xdr:cNvSpPr/>
      </xdr:nvSpPr>
      <xdr:spPr bwMode="auto">
        <a:xfrm>
          <a:off x="14744700" y="2152650"/>
          <a:ext cx="1079500" cy="247650"/>
        </a:xfrm>
        <a:prstGeom prst="homePlate">
          <a:avLst/>
        </a:prstGeom>
        <a:solidFill>
          <a:srgbClr val="54FF76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PTM10</a:t>
          </a:r>
          <a:r>
            <a:rPr lang="en-US" sz="1000" b="1"/>
            <a:t>  (71M)</a:t>
          </a:r>
        </a:p>
        <a:p>
          <a:pPr algn="ctr"/>
          <a:r>
            <a:rPr lang="en-US" sz="1000" b="1"/>
            <a:t>12/08@12:00-12/08@16:00</a:t>
          </a:r>
        </a:p>
        <a:p>
          <a:pPr algn="ctr"/>
          <a:r>
            <a:rPr lang="en-US" sz="1000" b="1"/>
            <a:t>NYS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38</xdr:col>
      <xdr:colOff>380093</xdr:colOff>
      <xdr:row>9</xdr:row>
      <xdr:rowOff>22679</xdr:rowOff>
    </xdr:from>
    <xdr:to>
      <xdr:col>42</xdr:col>
      <xdr:colOff>189215</xdr:colOff>
      <xdr:row>10</xdr:row>
      <xdr:rowOff>42310</xdr:rowOff>
    </xdr:to>
    <xdr:sp macro="" textlink="">
      <xdr:nvSpPr>
        <xdr:cNvPr id="1154131" name="TextBox 1154130"/>
        <xdr:cNvSpPr txBox="1"/>
      </xdr:nvSpPr>
      <xdr:spPr>
        <a:xfrm>
          <a:off x="15824200" y="2159000"/>
          <a:ext cx="1333122" cy="264560"/>
        </a:xfrm>
        <a:prstGeom prst="rect">
          <a:avLst/>
        </a:prstGeom>
        <a:solidFill>
          <a:srgbClr val="54FF76">
            <a:alpha val="10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100"/>
            <a:t>12-16(D:0,L:66):NYS</a:t>
          </a:r>
        </a:p>
      </xdr:txBody>
    </xdr:sp>
    <xdr:clientData/>
  </xdr:twoCellAnchor>
  <xdr:twoCellAnchor>
    <xdr:from>
      <xdr:col>16</xdr:col>
      <xdr:colOff>2721</xdr:colOff>
      <xdr:row>9</xdr:row>
      <xdr:rowOff>78242</xdr:rowOff>
    </xdr:from>
    <xdr:to>
      <xdr:col>20</xdr:col>
      <xdr:colOff>129721</xdr:colOff>
      <xdr:row>10</xdr:row>
      <xdr:rowOff>142875</xdr:rowOff>
    </xdr:to>
    <xdr:sp macro="" textlink="">
      <xdr:nvSpPr>
        <xdr:cNvPr id="1154132" name="aa17058i-v"/>
        <xdr:cNvSpPr/>
      </xdr:nvSpPr>
      <xdr:spPr bwMode="auto">
        <a:xfrm>
          <a:off x="6629400" y="2214563"/>
          <a:ext cx="1651000" cy="309562"/>
        </a:xfrm>
        <a:prstGeom prst="homePlate">
          <a:avLst/>
        </a:prstGeom>
        <a:solidFill>
          <a:srgbClr val="FFEDC2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SAW1</a:t>
          </a:r>
          <a:r>
            <a:rPr lang="en-US" sz="1000" b="1"/>
            <a:t>  (87M)</a:t>
          </a:r>
        </a:p>
        <a:p>
          <a:pPr algn="ctr"/>
          <a:r>
            <a:rPr lang="en-US" sz="1000" b="1"/>
            <a:t>12/08@13:00-12/08@18:00</a:t>
          </a:r>
        </a:p>
        <a:p>
          <a:pPr algn="ctr"/>
          <a:r>
            <a:rPr lang="en-US" sz="1000" b="1"/>
            <a:t>UTC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20</xdr:col>
      <xdr:colOff>129721</xdr:colOff>
      <xdr:row>9</xdr:row>
      <xdr:rowOff>73479</xdr:rowOff>
    </xdr:from>
    <xdr:to>
      <xdr:col>24</xdr:col>
      <xdr:colOff>20211</xdr:colOff>
      <xdr:row>10</xdr:row>
      <xdr:rowOff>93110</xdr:rowOff>
    </xdr:to>
    <xdr:sp macro="" textlink="">
      <xdr:nvSpPr>
        <xdr:cNvPr id="1154133" name="TextBox 1154132"/>
        <xdr:cNvSpPr txBox="1"/>
      </xdr:nvSpPr>
      <xdr:spPr>
        <a:xfrm>
          <a:off x="8280400" y="2209800"/>
          <a:ext cx="1414490" cy="264560"/>
        </a:xfrm>
        <a:prstGeom prst="rect">
          <a:avLst/>
        </a:prstGeom>
        <a:solidFill>
          <a:srgbClr val="FFEDC2">
            <a:alpha val="10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100"/>
            <a:t>13-18(D:0,L:103):UTC</a:t>
          </a:r>
        </a:p>
      </xdr:txBody>
    </xdr:sp>
    <xdr:clientData/>
  </xdr:twoCellAnchor>
  <xdr:twoCellAnchor>
    <xdr:from>
      <xdr:col>32</xdr:col>
      <xdr:colOff>303893</xdr:colOff>
      <xdr:row>9</xdr:row>
      <xdr:rowOff>202067</xdr:rowOff>
    </xdr:from>
    <xdr:to>
      <xdr:col>34</xdr:col>
      <xdr:colOff>303893</xdr:colOff>
      <xdr:row>11</xdr:row>
      <xdr:rowOff>21771</xdr:rowOff>
    </xdr:to>
    <xdr:sp macro="" textlink="">
      <xdr:nvSpPr>
        <xdr:cNvPr id="1154134" name="17105sa-v-145"/>
        <xdr:cNvSpPr/>
      </xdr:nvSpPr>
      <xdr:spPr bwMode="auto">
        <a:xfrm>
          <a:off x="13462000" y="2338388"/>
          <a:ext cx="762000" cy="309562"/>
        </a:xfrm>
        <a:prstGeom prst="homePlate">
          <a:avLst/>
        </a:prstGeom>
        <a:solidFill>
          <a:srgbClr val="CCFF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NPJY</a:t>
          </a:r>
          <a:r>
            <a:rPr lang="en-US" sz="1000" b="1"/>
            <a:t>  (50M)</a:t>
          </a:r>
        </a:p>
        <a:p>
          <a:pPr algn="ctr"/>
          <a:r>
            <a:rPr lang="en-US" sz="1000" b="1"/>
            <a:t>12/08@15:00-12/08@20:00</a:t>
          </a:r>
        </a:p>
        <a:p>
          <a:pPr algn="ctr"/>
          <a:r>
            <a:rPr lang="en-US" sz="1000" b="1"/>
            <a:t>STT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32</xdr:col>
      <xdr:colOff>303893</xdr:colOff>
      <xdr:row>11</xdr:row>
      <xdr:rowOff>15421</xdr:rowOff>
    </xdr:from>
    <xdr:to>
      <xdr:col>36</xdr:col>
      <xdr:colOff>162194</xdr:colOff>
      <xdr:row>11</xdr:row>
      <xdr:rowOff>279981</xdr:rowOff>
    </xdr:to>
    <xdr:sp macro="" textlink="">
      <xdr:nvSpPr>
        <xdr:cNvPr id="1154135" name="TextBox 1154134"/>
        <xdr:cNvSpPr txBox="1"/>
      </xdr:nvSpPr>
      <xdr:spPr>
        <a:xfrm>
          <a:off x="13462000" y="2641600"/>
          <a:ext cx="1382301" cy="264560"/>
        </a:xfrm>
        <a:prstGeom prst="rect">
          <a:avLst/>
        </a:prstGeom>
        <a:solidFill>
          <a:srgbClr val="CCFFFF">
            <a:alpha val="10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100"/>
            <a:t>15-20(D:40,L:36):STT</a:t>
          </a:r>
        </a:p>
      </xdr:txBody>
    </xdr:sp>
    <xdr:clientData/>
  </xdr:twoCellAnchor>
  <xdr:twoCellAnchor>
    <xdr:from>
      <xdr:col>38</xdr:col>
      <xdr:colOff>75293</xdr:colOff>
      <xdr:row>10</xdr:row>
      <xdr:rowOff>19050</xdr:rowOff>
    </xdr:from>
    <xdr:to>
      <xdr:col>41</xdr:col>
      <xdr:colOff>126093</xdr:colOff>
      <xdr:row>11</xdr:row>
      <xdr:rowOff>83684</xdr:rowOff>
    </xdr:to>
    <xdr:sp macro="" textlink="">
      <xdr:nvSpPr>
        <xdr:cNvPr id="1154136" name="17055n-v"/>
        <xdr:cNvSpPr/>
      </xdr:nvSpPr>
      <xdr:spPr bwMode="auto">
        <a:xfrm>
          <a:off x="15519400" y="2400300"/>
          <a:ext cx="1193800" cy="309563"/>
        </a:xfrm>
        <a:prstGeom prst="homePlate">
          <a:avLst/>
        </a:prstGeom>
        <a:solidFill>
          <a:srgbClr val="CCFF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NRR</a:t>
          </a:r>
          <a:r>
            <a:rPr lang="en-US" sz="1000" b="1"/>
            <a:t>  (50M)</a:t>
          </a:r>
        </a:p>
        <a:p>
          <a:pPr algn="ctr"/>
          <a:r>
            <a:rPr lang="en-US" sz="1000" b="1"/>
            <a:t>12/08@16:00-12/08@21:00</a:t>
          </a:r>
        </a:p>
        <a:p>
          <a:pPr algn="ctr"/>
          <a:r>
            <a:rPr lang="en-US" sz="1000" b="1"/>
            <a:t>STT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41</xdr:col>
      <xdr:colOff>126093</xdr:colOff>
      <xdr:row>10</xdr:row>
      <xdr:rowOff>19050</xdr:rowOff>
    </xdr:from>
    <xdr:to>
      <xdr:col>44</xdr:col>
      <xdr:colOff>280294</xdr:colOff>
      <xdr:row>11</xdr:row>
      <xdr:rowOff>38681</xdr:rowOff>
    </xdr:to>
    <xdr:sp macro="" textlink="">
      <xdr:nvSpPr>
        <xdr:cNvPr id="1154137" name="TextBox 1154136"/>
        <xdr:cNvSpPr txBox="1"/>
      </xdr:nvSpPr>
      <xdr:spPr>
        <a:xfrm>
          <a:off x="16713200" y="2400300"/>
          <a:ext cx="1310808" cy="264560"/>
        </a:xfrm>
        <a:prstGeom prst="rect">
          <a:avLst/>
        </a:prstGeom>
        <a:solidFill>
          <a:srgbClr val="CCFFFF">
            <a:alpha val="10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100"/>
            <a:t>16-21(D:0,L:49):STT</a:t>
          </a:r>
        </a:p>
      </xdr:txBody>
    </xdr:sp>
    <xdr:clientData/>
  </xdr:twoCellAnchor>
  <xdr:twoCellAnchor>
    <xdr:from>
      <xdr:col>36</xdr:col>
      <xdr:colOff>341993</xdr:colOff>
      <xdr:row>16</xdr:row>
      <xdr:rowOff>232342</xdr:rowOff>
    </xdr:from>
    <xdr:to>
      <xdr:col>45</xdr:col>
      <xdr:colOff>340179</xdr:colOff>
      <xdr:row>17</xdr:row>
      <xdr:rowOff>279400</xdr:rowOff>
    </xdr:to>
    <xdr:sp macro="" textlink="">
      <xdr:nvSpPr>
        <xdr:cNvPr id="1154138" name="1706s-v"/>
        <xdr:cNvSpPr/>
      </xdr:nvSpPr>
      <xdr:spPr bwMode="auto">
        <a:xfrm>
          <a:off x="15024100" y="4355306"/>
          <a:ext cx="3454400" cy="305594"/>
        </a:xfrm>
        <a:prstGeom prst="homePlate">
          <a:avLst/>
        </a:prstGeom>
        <a:solidFill>
          <a:srgbClr val="26B0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KMTC TAIPEIS</a:t>
          </a:r>
          <a:r>
            <a:rPr lang="en-US" sz="1000" b="1"/>
            <a:t>  (173M)</a:t>
          </a:r>
        </a:p>
        <a:p>
          <a:pPr algn="ctr"/>
          <a:r>
            <a:rPr lang="en-US" sz="1000" b="1"/>
            <a:t>13/08@19:00-13/08@23:59</a:t>
          </a:r>
        </a:p>
        <a:p>
          <a:pPr algn="ctr"/>
          <a:r>
            <a:rPr lang="en-US" sz="1000" b="1"/>
            <a:t>VTS-DISH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DISH ONLY</a:t>
          </a:r>
        </a:p>
      </xdr:txBody>
    </xdr:sp>
    <xdr:clientData/>
  </xdr:twoCellAnchor>
  <xdr:twoCellAnchor>
    <xdr:from>
      <xdr:col>44</xdr:col>
      <xdr:colOff>99786</xdr:colOff>
      <xdr:row>17</xdr:row>
      <xdr:rowOff>34355</xdr:rowOff>
    </xdr:from>
    <xdr:to>
      <xdr:col>45</xdr:col>
      <xdr:colOff>269308</xdr:colOff>
      <xdr:row>18</xdr:row>
      <xdr:rowOff>46494</xdr:rowOff>
    </xdr:to>
    <xdr:sp macro="" textlink="">
      <xdr:nvSpPr>
        <xdr:cNvPr id="1154139" name="TextBox 1154138"/>
        <xdr:cNvSpPr txBox="1"/>
      </xdr:nvSpPr>
      <xdr:spPr>
        <a:xfrm>
          <a:off x="17843500" y="4415855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80M</a:t>
          </a:r>
        </a:p>
      </xdr:txBody>
    </xdr:sp>
    <xdr:clientData/>
  </xdr:twoCellAnchor>
  <xdr:twoCellAnchor>
    <xdr:from>
      <xdr:col>36</xdr:col>
      <xdr:colOff>341993</xdr:colOff>
      <xdr:row>17</xdr:row>
      <xdr:rowOff>34355</xdr:rowOff>
    </xdr:from>
    <xdr:to>
      <xdr:col>38</xdr:col>
      <xdr:colOff>235109</xdr:colOff>
      <xdr:row>18</xdr:row>
      <xdr:rowOff>46494</xdr:rowOff>
    </xdr:to>
    <xdr:sp macro="" textlink="">
      <xdr:nvSpPr>
        <xdr:cNvPr id="1154140" name="TextBox 1154139"/>
        <xdr:cNvSpPr txBox="1"/>
      </xdr:nvSpPr>
      <xdr:spPr>
        <a:xfrm>
          <a:off x="15024100" y="4415855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253M</a:t>
          </a:r>
        </a:p>
      </xdr:txBody>
    </xdr:sp>
    <xdr:clientData/>
  </xdr:twoCellAnchor>
  <xdr:twoCellAnchor>
    <xdr:from>
      <xdr:col>36</xdr:col>
      <xdr:colOff>291193</xdr:colOff>
      <xdr:row>12</xdr:row>
      <xdr:rowOff>174852</xdr:rowOff>
    </xdr:from>
    <xdr:to>
      <xdr:col>45</xdr:col>
      <xdr:colOff>327479</xdr:colOff>
      <xdr:row>16</xdr:row>
      <xdr:rowOff>10886</xdr:rowOff>
    </xdr:to>
    <xdr:sp macro="" textlink="">
      <xdr:nvSpPr>
        <xdr:cNvPr id="1154141" name="1719-1720-v"/>
        <xdr:cNvSpPr/>
      </xdr:nvSpPr>
      <xdr:spPr bwMode="auto">
        <a:xfrm>
          <a:off x="14973300" y="3100388"/>
          <a:ext cx="3492500" cy="1033462"/>
        </a:xfrm>
        <a:prstGeom prst="homePlate">
          <a:avLst/>
        </a:prstGeom>
        <a:solidFill>
          <a:srgbClr val="CCFF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MAERSK WOLGAST</a:t>
          </a:r>
          <a:r>
            <a:rPr lang="en-US" sz="1000" b="1"/>
            <a:t>  (176M)</a:t>
          </a:r>
        </a:p>
        <a:p>
          <a:pPr algn="ctr"/>
          <a:r>
            <a:rPr lang="en-US" sz="1000" b="1"/>
            <a:t>13/08@02:00-13/08@16:00</a:t>
          </a:r>
        </a:p>
        <a:p>
          <a:pPr algn="ctr"/>
          <a:r>
            <a:rPr lang="en-US" sz="1000" b="1"/>
            <a:t>PH4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44</xdr:col>
      <xdr:colOff>87086</xdr:colOff>
      <xdr:row>14</xdr:row>
      <xdr:rowOff>621</xdr:rowOff>
    </xdr:from>
    <xdr:to>
      <xdr:col>45</xdr:col>
      <xdr:colOff>256608</xdr:colOff>
      <xdr:row>15</xdr:row>
      <xdr:rowOff>12760</xdr:rowOff>
    </xdr:to>
    <xdr:sp macro="" textlink="">
      <xdr:nvSpPr>
        <xdr:cNvPr id="1154142" name="TextBox 1154141"/>
        <xdr:cNvSpPr txBox="1"/>
      </xdr:nvSpPr>
      <xdr:spPr>
        <a:xfrm>
          <a:off x="17830800" y="3524871"/>
          <a:ext cx="564129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80M</a:t>
          </a:r>
        </a:p>
      </xdr:txBody>
    </xdr:sp>
    <xdr:clientData/>
  </xdr:twoCellAnchor>
  <xdr:twoCellAnchor>
    <xdr:from>
      <xdr:col>36</xdr:col>
      <xdr:colOff>291193</xdr:colOff>
      <xdr:row>14</xdr:row>
      <xdr:rowOff>621</xdr:rowOff>
    </xdr:from>
    <xdr:to>
      <xdr:col>38</xdr:col>
      <xdr:colOff>184309</xdr:colOff>
      <xdr:row>15</xdr:row>
      <xdr:rowOff>12760</xdr:rowOff>
    </xdr:to>
    <xdr:sp macro="" textlink="">
      <xdr:nvSpPr>
        <xdr:cNvPr id="1154143" name="TextBox 1154142"/>
        <xdr:cNvSpPr txBox="1"/>
      </xdr:nvSpPr>
      <xdr:spPr>
        <a:xfrm>
          <a:off x="14973300" y="3524871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lang="en-US" sz="1400" b="1"/>
            <a:t> 256M</a:t>
          </a:r>
        </a:p>
      </xdr:txBody>
    </xdr:sp>
    <xdr:clientData/>
  </xdr:twoCellAnchor>
  <xdr:twoCellAnchor>
    <xdr:from>
      <xdr:col>0</xdr:col>
      <xdr:colOff>127000</xdr:colOff>
      <xdr:row>17</xdr:row>
      <xdr:rowOff>121444</xdr:rowOff>
    </xdr:from>
    <xdr:to>
      <xdr:col>3</xdr:col>
      <xdr:colOff>224064</xdr:colOff>
      <xdr:row>17</xdr:row>
      <xdr:rowOff>279400</xdr:rowOff>
    </xdr:to>
    <xdr:sp macro="" textlink="">
      <xdr:nvSpPr>
        <xdr:cNvPr id="1154144" name="1-v-26-27-28-43-44"/>
        <xdr:cNvSpPr/>
      </xdr:nvSpPr>
      <xdr:spPr bwMode="auto">
        <a:xfrm rot="10800000">
          <a:off x="127000" y="4502944"/>
          <a:ext cx="1689100" cy="157956"/>
        </a:xfrm>
        <a:prstGeom prst="homePlate">
          <a:avLst/>
        </a:prstGeom>
        <a:solidFill>
          <a:srgbClr val="69FF12"/>
        </a:solidFill>
        <a:ln w="25400" cap="flat" cmpd="sng" algn="ctr">
          <a:solidFill>
            <a:srgbClr val="FF0000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TAL MILIONE</a:t>
          </a:r>
          <a:r>
            <a:rPr lang="en-US" sz="1000" b="1"/>
            <a:t>  (265M)</a:t>
          </a:r>
        </a:p>
        <a:p>
          <a:pPr algn="ctr"/>
          <a:r>
            <a:rPr lang="en-US" sz="1000" b="1"/>
            <a:t>13/08@21:00-15/08@01:00</a:t>
          </a:r>
        </a:p>
        <a:p>
          <a:pPr algn="ctr"/>
          <a:r>
            <a:rPr lang="en-US" sz="1000" b="1"/>
            <a:t>B2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310M</a:t>
          </a:r>
        </a:p>
      </xdr:txBody>
    </xdr:sp>
    <xdr:clientData/>
  </xdr:twoCellAnchor>
  <xdr:twoCellAnchor>
    <xdr:from>
      <xdr:col>23</xdr:col>
      <xdr:colOff>307521</xdr:colOff>
      <xdr:row>12</xdr:row>
      <xdr:rowOff>101033</xdr:rowOff>
    </xdr:from>
    <xdr:to>
      <xdr:col>25</xdr:col>
      <xdr:colOff>307521</xdr:colOff>
      <xdr:row>13</xdr:row>
      <xdr:rowOff>23132</xdr:rowOff>
    </xdr:to>
    <xdr:sp macro="" textlink="">
      <xdr:nvSpPr>
        <xdr:cNvPr id="1154145" name="17112n-v"/>
        <xdr:cNvSpPr/>
      </xdr:nvSpPr>
      <xdr:spPr bwMode="auto">
        <a:xfrm>
          <a:off x="9601200" y="3026569"/>
          <a:ext cx="762000" cy="221456"/>
        </a:xfrm>
        <a:prstGeom prst="homePlate">
          <a:avLst/>
        </a:prstGeom>
        <a:solidFill>
          <a:srgbClr val="CCFF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NPF</a:t>
          </a:r>
          <a:r>
            <a:rPr lang="en-US" sz="1000" b="1"/>
            <a:t>  (50M)</a:t>
          </a:r>
        </a:p>
        <a:p>
          <a:pPr algn="ctr"/>
          <a:r>
            <a:rPr lang="en-US" sz="1000" b="1"/>
            <a:t>13/08@01:00-13/08@04:00</a:t>
          </a:r>
        </a:p>
        <a:p>
          <a:pPr algn="ctr"/>
          <a:r>
            <a:rPr lang="en-US" sz="1000" b="1"/>
            <a:t>STT</a:t>
          </a:r>
        </a:p>
        <a:p>
          <a:pPr algn="ctr"/>
          <a:endParaRPr lang="en-US" sz="1000" b="1"/>
        </a:p>
      </xdr:txBody>
    </xdr:sp>
    <xdr:clientData/>
  </xdr:twoCellAnchor>
  <xdr:twoCellAnchor>
    <xdr:from>
      <xdr:col>23</xdr:col>
      <xdr:colOff>307521</xdr:colOff>
      <xdr:row>11</xdr:row>
      <xdr:rowOff>142421</xdr:rowOff>
    </xdr:from>
    <xdr:to>
      <xdr:col>27</xdr:col>
      <xdr:colOff>39901</xdr:colOff>
      <xdr:row>12</xdr:row>
      <xdr:rowOff>107624</xdr:rowOff>
    </xdr:to>
    <xdr:sp macro="" textlink="">
      <xdr:nvSpPr>
        <xdr:cNvPr id="1154146" name="TextBox 1154145"/>
        <xdr:cNvSpPr txBox="1"/>
      </xdr:nvSpPr>
      <xdr:spPr>
        <a:xfrm>
          <a:off x="9601200" y="2768600"/>
          <a:ext cx="1310808" cy="264560"/>
        </a:xfrm>
        <a:prstGeom prst="rect">
          <a:avLst/>
        </a:prstGeom>
        <a:solidFill>
          <a:srgbClr val="CCFFFF">
            <a:alpha val="10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100"/>
            <a:t>01-04(D:0,L:36):STT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CCFF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a:spPr>
      <a:bodyPr rot="0" spcFirstLastPara="0" vertOverflow="clip" horzOverflow="clip" vert="horz" wrap="square" lIns="18288" tIns="0" rIns="0" bIns="0" numCol="1" spcCol="0" rtlCol="0" fromWordArt="0" anchor="t" anchorCtr="0" forceAA="0" upright="1" compatLnSpc="1">
        <a:prstTxWarp prst="textNoShape">
          <a:avLst/>
        </a:prstTxWarp>
        <a:noAutofit/>
      </a:bodyPr>
      <a:lstStyle>
        <a:defPPr algn="l">
          <a:defRPr sz="1600" b="1"/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D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Q1000"/>
  <sheetViews>
    <sheetView tabSelected="1" zoomScale="70" zoomScaleNormal="70" workbookViewId="0">
      <pane ySplit="6" topLeftCell="A28" activePane="bottomLeft" state="frozen"/>
      <selection pane="bottomLeft" activeCell="B59" sqref="B59:F59"/>
    </sheetView>
  </sheetViews>
  <sheetFormatPr defaultRowHeight="12.75" x14ac:dyDescent="0.2"/>
  <cols>
    <col min="1" max="1" width="12.42578125" style="122" customWidth="1"/>
    <col min="2" max="9" width="5.7109375" style="122" customWidth="1"/>
    <col min="10" max="10" width="7" style="122" customWidth="1"/>
    <col min="11" max="22" width="5.7109375" style="122" customWidth="1"/>
    <col min="23" max="23" width="5.7109375" style="238" customWidth="1"/>
    <col min="24" max="26" width="5.7109375" style="122" customWidth="1"/>
    <col min="27" max="27" width="6.5703125" style="123" customWidth="1"/>
    <col min="28" max="28" width="6.5703125" style="124" customWidth="1"/>
    <col min="29" max="29" width="5.7109375" style="124" customWidth="1"/>
    <col min="30" max="43" width="5.7109375" style="122" customWidth="1"/>
    <col min="44" max="50" width="6" style="122" customWidth="1"/>
    <col min="51" max="55" width="10.28515625" style="122" customWidth="1"/>
    <col min="56" max="56" width="18.42578125" style="122" customWidth="1"/>
    <col min="57" max="58" width="19.85546875" style="122" customWidth="1"/>
    <col min="59" max="16384" width="9.140625" style="122"/>
  </cols>
  <sheetData>
    <row r="1" spans="1:69" ht="12.75" customHeight="1" x14ac:dyDescent="0.2">
      <c r="A1" s="261" t="s">
        <v>33</v>
      </c>
      <c r="B1" s="121"/>
      <c r="C1" s="261">
        <v>33</v>
      </c>
      <c r="D1" s="263"/>
      <c r="E1" s="261">
        <v>2017</v>
      </c>
      <c r="F1" s="265"/>
      <c r="G1" s="263"/>
    </row>
    <row r="2" spans="1:69" ht="12.75" customHeight="1" thickBot="1" x14ac:dyDescent="0.25">
      <c r="A2" s="262"/>
      <c r="B2" s="125"/>
      <c r="C2" s="262"/>
      <c r="D2" s="264"/>
      <c r="E2" s="262"/>
      <c r="F2" s="266"/>
      <c r="G2" s="264"/>
    </row>
    <row r="4" spans="1:69" s="135" customFormat="1" ht="19.5" customHeight="1" x14ac:dyDescent="0.2">
      <c r="A4" s="126" t="s">
        <v>18</v>
      </c>
      <c r="B4" s="16">
        <v>410</v>
      </c>
      <c r="C4" s="16">
        <v>385</v>
      </c>
      <c r="D4" s="16">
        <v>360</v>
      </c>
      <c r="E4" s="127">
        <v>360</v>
      </c>
      <c r="F4" s="127">
        <v>310</v>
      </c>
      <c r="G4" s="127">
        <v>285</v>
      </c>
      <c r="H4" s="127">
        <f>F4-50</f>
        <v>260</v>
      </c>
      <c r="I4" s="127">
        <v>235</v>
      </c>
      <c r="J4" s="127">
        <v>210</v>
      </c>
      <c r="K4" s="127">
        <v>185</v>
      </c>
      <c r="L4" s="127">
        <v>160</v>
      </c>
      <c r="M4" s="127">
        <v>135</v>
      </c>
      <c r="N4" s="127">
        <v>110</v>
      </c>
      <c r="O4" s="127">
        <v>85</v>
      </c>
      <c r="P4" s="127">
        <v>60</v>
      </c>
      <c r="Q4" s="127">
        <v>55</v>
      </c>
      <c r="R4" s="127">
        <v>50</v>
      </c>
      <c r="S4" s="127">
        <v>0</v>
      </c>
      <c r="T4" s="128">
        <v>190</v>
      </c>
      <c r="U4" s="129">
        <v>150</v>
      </c>
      <c r="V4" s="129">
        <v>125</v>
      </c>
      <c r="W4" s="239">
        <v>100</v>
      </c>
      <c r="X4" s="129">
        <v>75</v>
      </c>
      <c r="Y4" s="129">
        <v>50</v>
      </c>
      <c r="Z4" s="129">
        <v>25</v>
      </c>
      <c r="AA4" s="129">
        <v>0</v>
      </c>
      <c r="AB4" s="130" t="s">
        <v>0</v>
      </c>
      <c r="AC4" s="131" t="s">
        <v>1</v>
      </c>
      <c r="AD4" s="131" t="s">
        <v>2</v>
      </c>
      <c r="AE4" s="132">
        <v>400</v>
      </c>
      <c r="AF4" s="129">
        <v>375</v>
      </c>
      <c r="AG4" s="132">
        <v>350</v>
      </c>
      <c r="AH4" s="132">
        <v>325</v>
      </c>
      <c r="AI4" s="132">
        <v>300</v>
      </c>
      <c r="AJ4" s="132">
        <v>275</v>
      </c>
      <c r="AK4" s="132">
        <v>250</v>
      </c>
      <c r="AL4" s="132">
        <v>225</v>
      </c>
      <c r="AM4" s="132">
        <v>200</v>
      </c>
      <c r="AN4" s="132">
        <v>190</v>
      </c>
      <c r="AO4" s="132">
        <v>175</v>
      </c>
      <c r="AP4" s="132">
        <v>160</v>
      </c>
      <c r="AQ4" s="132">
        <v>150</v>
      </c>
      <c r="AR4" s="132">
        <v>125</v>
      </c>
      <c r="AS4" s="132">
        <v>100</v>
      </c>
      <c r="AT4" s="129">
        <v>75</v>
      </c>
      <c r="AU4" s="131">
        <v>50</v>
      </c>
      <c r="AV4" s="129">
        <v>0</v>
      </c>
      <c r="AW4" s="133"/>
      <c r="AX4" s="134"/>
      <c r="AY4" s="134"/>
    </row>
    <row r="5" spans="1:69" s="135" customFormat="1" ht="20.100000000000001" customHeight="1" x14ac:dyDescent="0.2">
      <c r="A5" s="126" t="s">
        <v>3</v>
      </c>
      <c r="B5" s="126">
        <v>600</v>
      </c>
      <c r="C5" s="126"/>
      <c r="D5" s="126">
        <v>550</v>
      </c>
      <c r="E5" s="127"/>
      <c r="F5" s="127">
        <v>500</v>
      </c>
      <c r="G5" s="127"/>
      <c r="H5" s="127">
        <v>450</v>
      </c>
      <c r="I5" s="127"/>
      <c r="J5" s="127">
        <v>400</v>
      </c>
      <c r="K5" s="127"/>
      <c r="L5" s="127">
        <v>350</v>
      </c>
      <c r="M5" s="127"/>
      <c r="N5" s="127">
        <v>300</v>
      </c>
      <c r="O5" s="127"/>
      <c r="P5" s="127">
        <v>250</v>
      </c>
      <c r="Q5" s="127">
        <v>245</v>
      </c>
      <c r="R5" s="127">
        <v>240</v>
      </c>
      <c r="S5" s="127">
        <v>190</v>
      </c>
      <c r="T5" s="129"/>
      <c r="U5" s="129">
        <v>150</v>
      </c>
      <c r="V5" s="129"/>
      <c r="W5" s="239">
        <v>100</v>
      </c>
      <c r="X5" s="129"/>
      <c r="Y5" s="129">
        <v>50</v>
      </c>
      <c r="Z5" s="129"/>
      <c r="AA5" s="129">
        <v>0</v>
      </c>
      <c r="AB5" s="130" t="s">
        <v>0</v>
      </c>
      <c r="AC5" s="131" t="s">
        <v>1</v>
      </c>
      <c r="AD5" s="131" t="s">
        <v>2</v>
      </c>
      <c r="AE5" s="132">
        <v>400</v>
      </c>
      <c r="AF5" s="129"/>
      <c r="AG5" s="132">
        <v>350</v>
      </c>
      <c r="AH5" s="132"/>
      <c r="AI5" s="132">
        <v>300</v>
      </c>
      <c r="AJ5" s="132"/>
      <c r="AK5" s="132">
        <v>250</v>
      </c>
      <c r="AL5" s="132"/>
      <c r="AM5" s="132">
        <v>200</v>
      </c>
      <c r="AN5" s="132"/>
      <c r="AO5" s="132">
        <v>175</v>
      </c>
      <c r="AP5" s="132"/>
      <c r="AQ5" s="132">
        <v>150</v>
      </c>
      <c r="AR5" s="132"/>
      <c r="AS5" s="132">
        <v>100</v>
      </c>
      <c r="AT5" s="129"/>
      <c r="AU5" s="131">
        <v>50</v>
      </c>
      <c r="AV5" s="129">
        <v>0</v>
      </c>
      <c r="AW5" s="136"/>
      <c r="AX5" s="134"/>
      <c r="AY5" s="134"/>
    </row>
    <row r="6" spans="1:69" s="144" customFormat="1" ht="20.100000000000001" customHeight="1" thickBot="1" x14ac:dyDescent="0.25">
      <c r="A6" s="137"/>
      <c r="B6" s="138">
        <v>591</v>
      </c>
      <c r="C6" s="139">
        <v>569</v>
      </c>
      <c r="D6" s="138">
        <v>543</v>
      </c>
      <c r="E6" s="140">
        <v>520</v>
      </c>
      <c r="F6" s="140">
        <v>496</v>
      </c>
      <c r="G6" s="140">
        <v>472</v>
      </c>
      <c r="H6" s="140">
        <v>448</v>
      </c>
      <c r="I6" s="140">
        <v>423</v>
      </c>
      <c r="J6" s="140">
        <v>400</v>
      </c>
      <c r="K6" s="140">
        <v>375</v>
      </c>
      <c r="L6" s="140">
        <v>350</v>
      </c>
      <c r="M6" s="140">
        <v>327</v>
      </c>
      <c r="N6" s="140">
        <v>303</v>
      </c>
      <c r="O6" s="140">
        <v>280</v>
      </c>
      <c r="P6" s="140">
        <v>250</v>
      </c>
      <c r="Q6" s="140">
        <v>224</v>
      </c>
      <c r="R6" s="140">
        <v>213</v>
      </c>
      <c r="S6" s="140">
        <v>190</v>
      </c>
      <c r="T6" s="140">
        <v>169</v>
      </c>
      <c r="U6" s="140">
        <v>146</v>
      </c>
      <c r="V6" s="140">
        <v>126</v>
      </c>
      <c r="W6" s="240">
        <v>104</v>
      </c>
      <c r="X6" s="140">
        <v>84</v>
      </c>
      <c r="Y6" s="140">
        <v>62</v>
      </c>
      <c r="Z6" s="140">
        <v>40</v>
      </c>
      <c r="AA6" s="140">
        <v>18</v>
      </c>
      <c r="AB6" s="140">
        <v>0</v>
      </c>
      <c r="AC6" s="141"/>
      <c r="AD6" s="142"/>
      <c r="AE6" s="140">
        <v>394</v>
      </c>
      <c r="AF6" s="140">
        <v>372</v>
      </c>
      <c r="AG6" s="140">
        <v>350</v>
      </c>
      <c r="AH6" s="140">
        <v>330</v>
      </c>
      <c r="AI6" s="140">
        <v>305</v>
      </c>
      <c r="AJ6" s="140">
        <v>285</v>
      </c>
      <c r="AK6" s="140">
        <v>265</v>
      </c>
      <c r="AL6" s="140">
        <v>240</v>
      </c>
      <c r="AM6" s="140">
        <v>220</v>
      </c>
      <c r="AN6" s="140">
        <v>198</v>
      </c>
      <c r="AO6" s="140">
        <v>175</v>
      </c>
      <c r="AP6" s="140">
        <v>153</v>
      </c>
      <c r="AQ6" s="140">
        <v>133</v>
      </c>
      <c r="AR6" s="140">
        <v>110</v>
      </c>
      <c r="AS6" s="140">
        <v>90</v>
      </c>
      <c r="AT6" s="140">
        <v>66</v>
      </c>
      <c r="AU6" s="140">
        <v>23</v>
      </c>
      <c r="AV6" s="140">
        <v>0</v>
      </c>
      <c r="AW6" s="133"/>
      <c r="AX6" s="143"/>
      <c r="AY6" s="143"/>
    </row>
    <row r="7" spans="1:69" s="148" customFormat="1" ht="20.100000000000001" customHeight="1" x14ac:dyDescent="0.35">
      <c r="A7" s="160"/>
      <c r="B7" s="160"/>
      <c r="C7" s="160"/>
      <c r="D7" s="223"/>
      <c r="E7" s="160"/>
      <c r="F7" s="160"/>
      <c r="G7" s="174"/>
      <c r="H7" s="159"/>
      <c r="I7" s="174"/>
      <c r="J7" s="159"/>
      <c r="K7" s="174"/>
      <c r="L7" s="159"/>
      <c r="M7" s="174"/>
      <c r="N7" s="159"/>
      <c r="O7" s="174"/>
      <c r="P7" s="159"/>
      <c r="Q7" s="174"/>
      <c r="R7" s="159"/>
      <c r="S7" s="223"/>
      <c r="T7" s="160"/>
      <c r="U7" s="174"/>
      <c r="V7" s="159"/>
      <c r="W7" s="241"/>
      <c r="X7" s="159"/>
      <c r="Y7" s="174"/>
      <c r="Z7" s="159"/>
      <c r="AA7" s="174"/>
      <c r="AB7" s="267" t="s">
        <v>11</v>
      </c>
      <c r="AC7" s="145">
        <v>4</v>
      </c>
      <c r="AD7" s="270">
        <v>14</v>
      </c>
      <c r="AE7" s="159"/>
      <c r="AF7" s="174"/>
      <c r="AG7" s="159"/>
      <c r="AH7" s="174"/>
      <c r="AI7" s="159"/>
      <c r="AJ7" s="174"/>
      <c r="AK7" s="159"/>
      <c r="AL7" s="174"/>
      <c r="AM7" s="159"/>
      <c r="AN7" s="174"/>
      <c r="AO7" s="159"/>
      <c r="AP7" s="174"/>
      <c r="AQ7" s="159"/>
      <c r="AR7" s="174"/>
      <c r="AS7" s="159"/>
      <c r="AT7" s="174"/>
      <c r="AU7" s="159"/>
      <c r="AV7" s="174"/>
      <c r="AW7" s="146"/>
      <c r="AX7" s="147"/>
      <c r="AY7" s="147"/>
      <c r="BB7" s="149"/>
      <c r="BC7" s="150"/>
      <c r="BD7" s="150"/>
      <c r="BE7" s="150"/>
      <c r="BF7" s="150"/>
      <c r="BG7" s="150"/>
      <c r="BH7" s="150"/>
      <c r="BI7" s="150"/>
      <c r="BJ7" s="150"/>
      <c r="BK7" s="150"/>
      <c r="BL7" s="150"/>
      <c r="BM7" s="150"/>
      <c r="BN7" s="150"/>
      <c r="BO7" s="150"/>
      <c r="BP7" s="150"/>
      <c r="BQ7" s="150"/>
    </row>
    <row r="8" spans="1:69" s="148" customFormat="1" ht="20.100000000000001" customHeight="1" x14ac:dyDescent="0.3">
      <c r="A8" s="229"/>
      <c r="B8" s="160"/>
      <c r="C8" s="229"/>
      <c r="D8" s="232"/>
      <c r="E8" s="160"/>
      <c r="F8" s="206"/>
      <c r="G8" s="211"/>
      <c r="H8" s="210"/>
      <c r="I8" s="211"/>
      <c r="J8" s="210"/>
      <c r="K8" s="211"/>
      <c r="L8" s="210"/>
      <c r="M8" s="211"/>
      <c r="N8" s="210"/>
      <c r="O8" s="211"/>
      <c r="P8" s="210"/>
      <c r="Q8" s="211"/>
      <c r="R8" s="210"/>
      <c r="S8" s="224"/>
      <c r="T8" s="206"/>
      <c r="U8" s="211"/>
      <c r="V8" s="210"/>
      <c r="W8" s="242"/>
      <c r="X8" s="210"/>
      <c r="Y8" s="211"/>
      <c r="Z8" s="210"/>
      <c r="AA8" s="211"/>
      <c r="AB8" s="268"/>
      <c r="AC8" s="151">
        <v>8</v>
      </c>
      <c r="AD8" s="271"/>
      <c r="AE8" s="210"/>
      <c r="AF8" s="211"/>
      <c r="AG8" s="210"/>
      <c r="AH8" s="211"/>
      <c r="AI8" s="210"/>
      <c r="AJ8" s="211"/>
      <c r="AK8" s="210"/>
      <c r="AL8" s="211"/>
      <c r="AM8" s="210"/>
      <c r="AN8" s="211"/>
      <c r="AO8" s="210"/>
      <c r="AP8" s="211"/>
      <c r="AQ8" s="210"/>
      <c r="AR8" s="211"/>
      <c r="AS8" s="210"/>
      <c r="AT8" s="211"/>
      <c r="AU8" s="210"/>
      <c r="AV8" s="211"/>
      <c r="AW8" s="146"/>
      <c r="AX8" s="147"/>
      <c r="AY8" s="147"/>
      <c r="BB8" s="152"/>
      <c r="BC8" s="153"/>
      <c r="BD8" s="153"/>
      <c r="BE8" s="153"/>
      <c r="BF8" s="153"/>
      <c r="BG8" s="153"/>
      <c r="BH8" s="153"/>
      <c r="BI8" s="153"/>
      <c r="BJ8" s="153"/>
      <c r="BK8" s="150"/>
      <c r="BL8" s="150"/>
      <c r="BM8" s="150"/>
      <c r="BN8" s="150"/>
      <c r="BO8" s="150"/>
      <c r="BP8" s="150"/>
      <c r="BQ8" s="150"/>
    </row>
    <row r="9" spans="1:69" s="148" customFormat="1" ht="20.100000000000001" customHeight="1" x14ac:dyDescent="0.3">
      <c r="A9" s="229"/>
      <c r="B9" s="160"/>
      <c r="C9" s="230"/>
      <c r="D9" s="233"/>
      <c r="E9" s="222"/>
      <c r="F9" s="172"/>
      <c r="G9" s="174"/>
      <c r="H9" s="162"/>
      <c r="I9" s="174"/>
      <c r="J9" s="162"/>
      <c r="K9" s="174"/>
      <c r="L9" s="162"/>
      <c r="M9" s="174"/>
      <c r="N9" s="162"/>
      <c r="O9" s="174"/>
      <c r="P9" s="162"/>
      <c r="Q9" s="174"/>
      <c r="R9" s="162"/>
      <c r="S9" s="223"/>
      <c r="T9" s="172"/>
      <c r="U9" s="174"/>
      <c r="V9" s="162"/>
      <c r="W9" s="241"/>
      <c r="X9" s="162"/>
      <c r="Y9" s="174"/>
      <c r="Z9" s="162"/>
      <c r="AA9" s="174"/>
      <c r="AB9" s="268"/>
      <c r="AC9" s="151">
        <v>12</v>
      </c>
      <c r="AD9" s="271"/>
      <c r="AE9" s="162"/>
      <c r="AF9" s="174"/>
      <c r="AG9" s="162"/>
      <c r="AH9" s="174"/>
      <c r="AI9" s="162"/>
      <c r="AJ9" s="174"/>
      <c r="AK9" s="162"/>
      <c r="AL9" s="174"/>
      <c r="AM9" s="162"/>
      <c r="AN9" s="174"/>
      <c r="AO9" s="162"/>
      <c r="AP9" s="174"/>
      <c r="AQ9" s="162"/>
      <c r="AR9" s="174"/>
      <c r="AS9" s="162"/>
      <c r="AT9" s="174"/>
      <c r="AU9" s="162"/>
      <c r="AV9" s="174"/>
      <c r="AW9" s="146"/>
      <c r="AX9" s="147"/>
      <c r="AY9" s="147"/>
      <c r="BB9" s="153"/>
      <c r="BC9" s="153"/>
      <c r="BD9" s="153"/>
      <c r="BE9" s="153"/>
      <c r="BF9" s="153"/>
      <c r="BG9" s="153"/>
      <c r="BH9" s="153"/>
      <c r="BI9" s="153"/>
      <c r="BJ9" s="153"/>
      <c r="BK9" s="150"/>
      <c r="BL9" s="150"/>
      <c r="BM9" s="150"/>
      <c r="BN9" s="150"/>
      <c r="BO9" s="150"/>
      <c r="BP9" s="150"/>
      <c r="BQ9" s="150"/>
    </row>
    <row r="10" spans="1:69" s="148" customFormat="1" ht="20.100000000000001" customHeight="1" x14ac:dyDescent="0.35">
      <c r="A10" s="160"/>
      <c r="B10" s="160"/>
      <c r="C10" s="160"/>
      <c r="D10" s="234"/>
      <c r="E10" s="160"/>
      <c r="F10" s="165"/>
      <c r="G10" s="175"/>
      <c r="H10" s="166"/>
      <c r="I10" s="175"/>
      <c r="J10" s="166"/>
      <c r="K10" s="175"/>
      <c r="L10" s="166"/>
      <c r="M10" s="175"/>
      <c r="N10" s="166"/>
      <c r="O10" s="175"/>
      <c r="P10" s="166"/>
      <c r="Q10" s="175"/>
      <c r="R10" s="166"/>
      <c r="S10" s="225"/>
      <c r="T10" s="165"/>
      <c r="U10" s="175"/>
      <c r="V10" s="166"/>
      <c r="W10" s="243"/>
      <c r="X10" s="166"/>
      <c r="Y10" s="175"/>
      <c r="Z10" s="166"/>
      <c r="AA10" s="175"/>
      <c r="AB10" s="268"/>
      <c r="AC10" s="151">
        <v>16</v>
      </c>
      <c r="AD10" s="271"/>
      <c r="AE10" s="166"/>
      <c r="AF10" s="175"/>
      <c r="AG10" s="166"/>
      <c r="AH10" s="175"/>
      <c r="AI10" s="166"/>
      <c r="AJ10" s="175"/>
      <c r="AK10" s="166"/>
      <c r="AL10" s="175"/>
      <c r="AM10" s="166"/>
      <c r="AN10" s="175"/>
      <c r="AO10" s="166"/>
      <c r="AP10" s="175"/>
      <c r="AQ10" s="166"/>
      <c r="AR10" s="175"/>
      <c r="AS10" s="166"/>
      <c r="AT10" s="175"/>
      <c r="AU10" s="166"/>
      <c r="AV10" s="175"/>
      <c r="AW10" s="147"/>
      <c r="AX10" s="147"/>
      <c r="AY10" s="147"/>
      <c r="BB10" s="152"/>
      <c r="BC10" s="153" t="s">
        <v>19</v>
      </c>
      <c r="BD10" s="153"/>
      <c r="BE10" s="153"/>
      <c r="BF10" s="153"/>
      <c r="BG10" s="156"/>
      <c r="BH10" s="156"/>
      <c r="BI10" s="156"/>
      <c r="BJ10" s="156"/>
      <c r="BK10" s="150"/>
      <c r="BL10" s="150"/>
      <c r="BM10" s="150"/>
      <c r="BN10" s="150"/>
      <c r="BO10" s="150"/>
      <c r="BP10" s="150"/>
      <c r="BQ10" s="150"/>
    </row>
    <row r="11" spans="1:69" s="148" customFormat="1" ht="20.100000000000001" customHeight="1" x14ac:dyDescent="0.3">
      <c r="A11" s="207"/>
      <c r="B11" s="160"/>
      <c r="C11" s="207"/>
      <c r="D11" s="223"/>
      <c r="E11" s="222"/>
      <c r="F11" s="168"/>
      <c r="G11" s="212"/>
      <c r="H11" s="167"/>
      <c r="I11" s="212"/>
      <c r="J11" s="167"/>
      <c r="K11" s="212"/>
      <c r="L11" s="167"/>
      <c r="M11" s="212"/>
      <c r="N11" s="167"/>
      <c r="O11" s="212"/>
      <c r="P11" s="167"/>
      <c r="Q11" s="212"/>
      <c r="R11" s="167"/>
      <c r="S11" s="226"/>
      <c r="T11" s="168"/>
      <c r="U11" s="212"/>
      <c r="V11" s="167"/>
      <c r="W11" s="244"/>
      <c r="X11" s="167"/>
      <c r="Y11" s="212"/>
      <c r="Z11" s="167"/>
      <c r="AA11" s="212"/>
      <c r="AB11" s="268"/>
      <c r="AC11" s="151">
        <v>20</v>
      </c>
      <c r="AD11" s="271"/>
      <c r="AE11" s="167"/>
      <c r="AF11" s="212"/>
      <c r="AG11" s="167"/>
      <c r="AH11" s="212"/>
      <c r="AI11" s="167"/>
      <c r="AJ11" s="212"/>
      <c r="AK11" s="167"/>
      <c r="AL11" s="212"/>
      <c r="AM11" s="167"/>
      <c r="AN11" s="212"/>
      <c r="AO11" s="167"/>
      <c r="AP11" s="212"/>
      <c r="AQ11" s="167"/>
      <c r="AR11" s="212"/>
      <c r="AS11" s="167"/>
      <c r="AT11" s="212"/>
      <c r="AU11" s="167"/>
      <c r="AV11" s="212"/>
      <c r="AW11" s="147"/>
      <c r="AX11" s="147"/>
      <c r="AY11" s="147"/>
      <c r="BB11" s="153"/>
      <c r="BC11" s="153"/>
      <c r="BD11" s="153"/>
      <c r="BE11" s="153"/>
      <c r="BF11" s="153"/>
      <c r="BG11" s="156"/>
      <c r="BH11" s="156"/>
      <c r="BI11" s="156"/>
      <c r="BJ11" s="156"/>
      <c r="BK11" s="150"/>
      <c r="BL11" s="150"/>
      <c r="BM11" s="150"/>
      <c r="BN11" s="150"/>
      <c r="BO11" s="150"/>
      <c r="BP11" s="150"/>
      <c r="BQ11" s="150"/>
    </row>
    <row r="12" spans="1:69" s="148" customFormat="1" ht="20.100000000000001" customHeight="1" thickBot="1" x14ac:dyDescent="0.35">
      <c r="A12" s="170"/>
      <c r="B12" s="170"/>
      <c r="C12" s="231"/>
      <c r="D12" s="235"/>
      <c r="E12" s="228"/>
      <c r="F12" s="208"/>
      <c r="G12" s="213"/>
      <c r="H12" s="171"/>
      <c r="I12" s="213"/>
      <c r="J12" s="171"/>
      <c r="K12" s="213"/>
      <c r="L12" s="171"/>
      <c r="M12" s="213"/>
      <c r="N12" s="171"/>
      <c r="O12" s="213"/>
      <c r="P12" s="171"/>
      <c r="Q12" s="213"/>
      <c r="R12" s="171"/>
      <c r="S12" s="227"/>
      <c r="T12" s="208"/>
      <c r="U12" s="213"/>
      <c r="V12" s="171"/>
      <c r="W12" s="245"/>
      <c r="X12" s="171"/>
      <c r="Y12" s="213"/>
      <c r="Z12" s="171"/>
      <c r="AA12" s="213"/>
      <c r="AB12" s="269"/>
      <c r="AC12" s="157">
        <v>24</v>
      </c>
      <c r="AD12" s="272"/>
      <c r="AE12" s="171"/>
      <c r="AF12" s="213"/>
      <c r="AG12" s="171"/>
      <c r="AH12" s="213"/>
      <c r="AI12" s="171"/>
      <c r="AJ12" s="213"/>
      <c r="AK12" s="171"/>
      <c r="AL12" s="213"/>
      <c r="AM12" s="171"/>
      <c r="AN12" s="213"/>
      <c r="AO12" s="171"/>
      <c r="AP12" s="213"/>
      <c r="AQ12" s="171"/>
      <c r="AR12" s="213"/>
      <c r="AS12" s="171"/>
      <c r="AT12" s="213"/>
      <c r="AU12" s="171"/>
      <c r="AV12" s="213"/>
      <c r="AW12" s="155"/>
      <c r="AX12" s="147"/>
      <c r="AY12" s="147"/>
      <c r="BB12" s="153"/>
      <c r="BC12" s="158"/>
      <c r="BD12" s="153"/>
      <c r="BE12" s="153"/>
      <c r="BF12" s="153"/>
      <c r="BG12" s="156"/>
      <c r="BH12" s="156"/>
      <c r="BI12" s="156"/>
      <c r="BJ12" s="156"/>
      <c r="BK12" s="150"/>
      <c r="BL12" s="150"/>
      <c r="BM12" s="150"/>
      <c r="BN12" s="150"/>
      <c r="BO12" s="150"/>
      <c r="BP12" s="150"/>
      <c r="BQ12" s="150"/>
    </row>
    <row r="13" spans="1:69" s="148" customFormat="1" ht="20.100000000000001" customHeight="1" x14ac:dyDescent="0.3">
      <c r="A13" s="160"/>
      <c r="B13" s="160"/>
      <c r="C13" s="160"/>
      <c r="D13" s="223"/>
      <c r="E13" s="160"/>
      <c r="F13" s="160"/>
      <c r="G13" s="174"/>
      <c r="H13" s="159"/>
      <c r="I13" s="174"/>
      <c r="J13" s="159"/>
      <c r="K13" s="174"/>
      <c r="L13" s="159"/>
      <c r="M13" s="174"/>
      <c r="N13" s="159"/>
      <c r="O13" s="174"/>
      <c r="P13" s="159"/>
      <c r="Q13" s="174"/>
      <c r="R13" s="159"/>
      <c r="S13" s="223"/>
      <c r="T13" s="160"/>
      <c r="U13" s="174"/>
      <c r="V13" s="159"/>
      <c r="W13" s="241"/>
      <c r="X13" s="159"/>
      <c r="Y13" s="174"/>
      <c r="Z13" s="159"/>
      <c r="AA13" s="174"/>
      <c r="AB13" s="273" t="s">
        <v>12</v>
      </c>
      <c r="AC13" s="145">
        <v>4</v>
      </c>
      <c r="AD13" s="276">
        <v>15</v>
      </c>
      <c r="AE13" s="159"/>
      <c r="AF13" s="174"/>
      <c r="AG13" s="159"/>
      <c r="AH13" s="214"/>
      <c r="AI13" s="159"/>
      <c r="AJ13" s="174"/>
      <c r="AK13" s="162"/>
      <c r="AL13" s="174"/>
      <c r="AM13" s="159"/>
      <c r="AN13" s="174"/>
      <c r="AO13" s="159"/>
      <c r="AP13" s="174"/>
      <c r="AQ13" s="159"/>
      <c r="AR13" s="174"/>
      <c r="AS13" s="159"/>
      <c r="AT13" s="174"/>
      <c r="AU13" s="159"/>
      <c r="AV13" s="174"/>
      <c r="AW13" s="147"/>
      <c r="AX13" s="147"/>
      <c r="AY13" s="147"/>
      <c r="BB13" s="152"/>
      <c r="BC13" s="153"/>
      <c r="BD13" s="153"/>
      <c r="BE13" s="153"/>
      <c r="BF13" s="153"/>
      <c r="BG13" s="156"/>
      <c r="BH13" s="156"/>
      <c r="BI13" s="156"/>
      <c r="BJ13" s="156"/>
      <c r="BK13" s="150"/>
      <c r="BL13" s="150"/>
      <c r="BM13" s="150"/>
      <c r="BN13" s="150"/>
      <c r="BO13" s="150"/>
      <c r="BP13" s="150"/>
      <c r="BQ13" s="150"/>
    </row>
    <row r="14" spans="1:69" s="148" customFormat="1" ht="20.100000000000001" customHeight="1" x14ac:dyDescent="0.35">
      <c r="A14" s="229"/>
      <c r="B14" s="160"/>
      <c r="C14" s="229"/>
      <c r="D14" s="232"/>
      <c r="E14" s="160"/>
      <c r="F14" s="206"/>
      <c r="G14" s="211"/>
      <c r="H14" s="210"/>
      <c r="I14" s="211"/>
      <c r="J14" s="210"/>
      <c r="K14" s="211"/>
      <c r="L14" s="210"/>
      <c r="M14" s="211"/>
      <c r="N14" s="210"/>
      <c r="O14" s="211"/>
      <c r="P14" s="210"/>
      <c r="Q14" s="211"/>
      <c r="R14" s="210"/>
      <c r="S14" s="224"/>
      <c r="T14" s="206"/>
      <c r="U14" s="211"/>
      <c r="V14" s="210"/>
      <c r="W14" s="242"/>
      <c r="X14" s="210"/>
      <c r="Y14" s="211"/>
      <c r="Z14" s="210"/>
      <c r="AA14" s="211"/>
      <c r="AB14" s="274"/>
      <c r="AC14" s="151">
        <v>8</v>
      </c>
      <c r="AD14" s="276"/>
      <c r="AE14" s="210"/>
      <c r="AF14" s="211"/>
      <c r="AG14" s="162"/>
      <c r="AH14" s="174"/>
      <c r="AI14" s="159"/>
      <c r="AJ14" s="174"/>
      <c r="AK14" s="218"/>
      <c r="AL14" s="174"/>
      <c r="AM14" s="162"/>
      <c r="AN14" s="174"/>
      <c r="AO14" s="159"/>
      <c r="AP14" s="174"/>
      <c r="AQ14" s="162"/>
      <c r="AR14" s="174"/>
      <c r="AS14" s="159"/>
      <c r="AT14" s="174"/>
      <c r="AU14" s="161"/>
      <c r="AV14" s="174"/>
      <c r="AW14" s="160"/>
      <c r="AX14" s="147"/>
      <c r="AY14" s="147"/>
      <c r="BB14" s="153"/>
      <c r="BC14" s="153"/>
      <c r="BD14" s="153"/>
      <c r="BE14" s="153"/>
      <c r="BF14" s="153"/>
      <c r="BG14" s="156"/>
      <c r="BH14" s="156"/>
      <c r="BI14" s="156"/>
      <c r="BJ14" s="156"/>
      <c r="BK14" s="150"/>
      <c r="BL14" s="150"/>
      <c r="BM14" s="150"/>
      <c r="BN14" s="150"/>
      <c r="BO14" s="150"/>
      <c r="BP14" s="150"/>
      <c r="BQ14" s="150"/>
    </row>
    <row r="15" spans="1:69" s="148" customFormat="1" ht="20.100000000000001" customHeight="1" x14ac:dyDescent="0.35">
      <c r="A15" s="229"/>
      <c r="B15" s="160"/>
      <c r="C15" s="230"/>
      <c r="D15" s="233"/>
      <c r="E15" s="222"/>
      <c r="F15" s="172"/>
      <c r="G15" s="174"/>
      <c r="H15" s="162"/>
      <c r="I15" s="174"/>
      <c r="J15" s="162"/>
      <c r="K15" s="174"/>
      <c r="L15" s="162"/>
      <c r="M15" s="174"/>
      <c r="N15" s="162"/>
      <c r="O15" s="174"/>
      <c r="P15" s="162"/>
      <c r="Q15" s="174"/>
      <c r="R15" s="162"/>
      <c r="S15" s="223"/>
      <c r="T15" s="172"/>
      <c r="U15" s="174"/>
      <c r="V15" s="162"/>
      <c r="W15" s="241"/>
      <c r="X15" s="162"/>
      <c r="Y15" s="174"/>
      <c r="Z15" s="162"/>
      <c r="AA15" s="174"/>
      <c r="AB15" s="274"/>
      <c r="AC15" s="151">
        <v>12</v>
      </c>
      <c r="AD15" s="276"/>
      <c r="AE15" s="162"/>
      <c r="AF15" s="174"/>
      <c r="AG15" s="159"/>
      <c r="AH15" s="174"/>
      <c r="AI15" s="159"/>
      <c r="AJ15" s="174"/>
      <c r="AK15" s="218"/>
      <c r="AL15" s="174"/>
      <c r="AM15" s="162"/>
      <c r="AN15" s="174"/>
      <c r="AO15" s="159"/>
      <c r="AP15" s="174"/>
      <c r="AQ15" s="162"/>
      <c r="AR15" s="174"/>
      <c r="AS15" s="159"/>
      <c r="AT15" s="174"/>
      <c r="AU15" s="162"/>
      <c r="AV15" s="174"/>
      <c r="AW15" s="147"/>
      <c r="AX15" s="147"/>
      <c r="AY15" s="147"/>
      <c r="AZ15" s="163"/>
      <c r="BB15" s="152"/>
      <c r="BC15" s="153"/>
      <c r="BD15" s="153"/>
      <c r="BE15" s="153"/>
      <c r="BF15" s="153"/>
      <c r="BG15" s="156"/>
      <c r="BH15" s="156"/>
      <c r="BI15" s="156"/>
      <c r="BJ15" s="156"/>
      <c r="BK15" s="150"/>
      <c r="BL15" s="150"/>
      <c r="BM15" s="150"/>
      <c r="BN15" s="150"/>
      <c r="BO15" s="150"/>
      <c r="BP15" s="150"/>
      <c r="BQ15" s="150"/>
    </row>
    <row r="16" spans="1:69" s="148" customFormat="1" ht="20.100000000000001" customHeight="1" x14ac:dyDescent="0.35">
      <c r="A16" s="160"/>
      <c r="B16" s="160"/>
      <c r="C16" s="160"/>
      <c r="D16" s="234"/>
      <c r="E16" s="160"/>
      <c r="F16" s="165"/>
      <c r="G16" s="175"/>
      <c r="H16" s="166"/>
      <c r="I16" s="175"/>
      <c r="J16" s="166"/>
      <c r="K16" s="175"/>
      <c r="L16" s="166"/>
      <c r="M16" s="175"/>
      <c r="N16" s="166"/>
      <c r="O16" s="175"/>
      <c r="P16" s="166"/>
      <c r="Q16" s="175"/>
      <c r="R16" s="166"/>
      <c r="S16" s="225"/>
      <c r="T16" s="165"/>
      <c r="U16" s="175"/>
      <c r="V16" s="166"/>
      <c r="W16" s="243"/>
      <c r="X16" s="166"/>
      <c r="Y16" s="175"/>
      <c r="Z16" s="166"/>
      <c r="AA16" s="175"/>
      <c r="AB16" s="274"/>
      <c r="AC16" s="151">
        <v>16</v>
      </c>
      <c r="AD16" s="276"/>
      <c r="AE16" s="166"/>
      <c r="AF16" s="175"/>
      <c r="AG16" s="164"/>
      <c r="AH16" s="175"/>
      <c r="AI16" s="162"/>
      <c r="AJ16" s="216"/>
      <c r="AK16" s="166"/>
      <c r="AL16" s="219"/>
      <c r="AM16" s="164"/>
      <c r="AN16" s="216"/>
      <c r="AO16" s="164"/>
      <c r="AP16" s="175"/>
      <c r="AQ16" s="166"/>
      <c r="AR16" s="175"/>
      <c r="AS16" s="164"/>
      <c r="AT16" s="175"/>
      <c r="AU16" s="166"/>
      <c r="AV16" s="175"/>
      <c r="AW16" s="147"/>
      <c r="AX16" s="147"/>
      <c r="AY16" s="147"/>
      <c r="BB16" s="153"/>
      <c r="BC16" s="153"/>
      <c r="BD16" s="153"/>
      <c r="BE16" s="153"/>
      <c r="BF16" s="153"/>
      <c r="BG16" s="156"/>
      <c r="BH16" s="156"/>
      <c r="BI16" s="156"/>
      <c r="BJ16" s="156"/>
      <c r="BK16" s="150"/>
      <c r="BL16" s="150"/>
      <c r="BM16" s="150"/>
      <c r="BN16" s="150"/>
      <c r="BO16" s="150"/>
      <c r="BP16" s="150"/>
      <c r="BQ16" s="150"/>
    </row>
    <row r="17" spans="1:69" s="148" customFormat="1" ht="20.100000000000001" customHeight="1" x14ac:dyDescent="0.35">
      <c r="A17" s="207"/>
      <c r="B17" s="160"/>
      <c r="C17" s="207"/>
      <c r="D17" s="223"/>
      <c r="E17" s="222"/>
      <c r="F17" s="168"/>
      <c r="G17" s="212"/>
      <c r="H17" s="167"/>
      <c r="I17" s="212"/>
      <c r="J17" s="167"/>
      <c r="K17" s="212"/>
      <c r="L17" s="167"/>
      <c r="M17" s="212"/>
      <c r="N17" s="167"/>
      <c r="O17" s="212"/>
      <c r="P17" s="167"/>
      <c r="Q17" s="212"/>
      <c r="R17" s="167"/>
      <c r="S17" s="226"/>
      <c r="T17" s="168"/>
      <c r="U17" s="212"/>
      <c r="V17" s="167"/>
      <c r="W17" s="244"/>
      <c r="X17" s="167"/>
      <c r="Y17" s="212"/>
      <c r="Z17" s="167"/>
      <c r="AA17" s="212"/>
      <c r="AB17" s="274"/>
      <c r="AC17" s="151">
        <v>20</v>
      </c>
      <c r="AD17" s="276"/>
      <c r="AE17" s="167"/>
      <c r="AF17" s="212"/>
      <c r="AG17" s="167"/>
      <c r="AH17" s="212"/>
      <c r="AI17" s="166"/>
      <c r="AJ17" s="212"/>
      <c r="AK17" s="166"/>
      <c r="AL17" s="212"/>
      <c r="AM17" s="167"/>
      <c r="AN17" s="212"/>
      <c r="AO17" s="167"/>
      <c r="AP17" s="221"/>
      <c r="AQ17" s="167"/>
      <c r="AR17" s="212"/>
      <c r="AS17" s="167"/>
      <c r="AT17" s="212"/>
      <c r="AU17" s="167"/>
      <c r="AV17" s="212"/>
      <c r="AW17" s="160"/>
      <c r="AX17" s="147"/>
      <c r="AY17" s="147"/>
      <c r="BB17" s="153"/>
      <c r="BC17" s="153"/>
      <c r="BD17" s="153"/>
      <c r="BE17" s="153"/>
      <c r="BF17" s="153"/>
      <c r="BG17" s="156"/>
      <c r="BH17" s="156"/>
      <c r="BI17" s="156"/>
      <c r="BJ17" s="156"/>
      <c r="BK17" s="150"/>
      <c r="BL17" s="150"/>
      <c r="BM17" s="150"/>
      <c r="BN17" s="150"/>
      <c r="BO17" s="150"/>
      <c r="BP17" s="150"/>
      <c r="BQ17" s="150"/>
    </row>
    <row r="18" spans="1:69" s="148" customFormat="1" ht="20.100000000000001" customHeight="1" thickBot="1" x14ac:dyDescent="0.35">
      <c r="A18" s="170"/>
      <c r="B18" s="170"/>
      <c r="C18" s="231"/>
      <c r="D18" s="235"/>
      <c r="E18" s="209"/>
      <c r="F18" s="208"/>
      <c r="G18" s="213"/>
      <c r="H18" s="171"/>
      <c r="I18" s="213"/>
      <c r="J18" s="171"/>
      <c r="K18" s="213"/>
      <c r="L18" s="171"/>
      <c r="M18" s="213"/>
      <c r="N18" s="171"/>
      <c r="O18" s="213"/>
      <c r="P18" s="171"/>
      <c r="Q18" s="213"/>
      <c r="R18" s="171"/>
      <c r="S18" s="227"/>
      <c r="T18" s="208"/>
      <c r="U18" s="213"/>
      <c r="V18" s="171"/>
      <c r="W18" s="245"/>
      <c r="X18" s="171"/>
      <c r="Y18" s="213"/>
      <c r="Z18" s="171"/>
      <c r="AA18" s="213"/>
      <c r="AB18" s="275"/>
      <c r="AC18" s="157">
        <v>24</v>
      </c>
      <c r="AD18" s="277"/>
      <c r="AE18" s="171"/>
      <c r="AF18" s="213"/>
      <c r="AG18" s="215"/>
      <c r="AH18" s="213"/>
      <c r="AI18" s="179"/>
      <c r="AJ18" s="217"/>
      <c r="AK18" s="179"/>
      <c r="AL18" s="217"/>
      <c r="AM18" s="220"/>
      <c r="AN18" s="217"/>
      <c r="AO18" s="179"/>
      <c r="AP18" s="217"/>
      <c r="AQ18" s="169"/>
      <c r="AR18" s="217"/>
      <c r="AS18" s="169"/>
      <c r="AT18" s="217"/>
      <c r="AU18" s="171"/>
      <c r="AV18" s="213"/>
      <c r="AW18" s="172"/>
      <c r="AX18" s="147"/>
      <c r="AY18" s="147"/>
      <c r="BB18" s="153"/>
      <c r="BC18" s="153"/>
      <c r="BD18" s="153"/>
      <c r="BE18" s="153"/>
      <c r="BF18" s="153"/>
      <c r="BG18" s="156"/>
      <c r="BH18" s="156"/>
      <c r="BI18" s="156"/>
      <c r="BJ18" s="156"/>
      <c r="BK18" s="150"/>
      <c r="BL18" s="150"/>
      <c r="BM18" s="150"/>
      <c r="BN18" s="150"/>
      <c r="BO18" s="150"/>
      <c r="BP18" s="150"/>
      <c r="BQ18" s="150"/>
    </row>
    <row r="19" spans="1:69" s="148" customFormat="1" ht="20.100000000000001" customHeight="1" x14ac:dyDescent="0.3">
      <c r="A19" s="160"/>
      <c r="B19" s="160"/>
      <c r="C19" s="160"/>
      <c r="D19" s="223"/>
      <c r="E19" s="160"/>
      <c r="F19" s="160"/>
      <c r="G19" s="174"/>
      <c r="H19" s="159"/>
      <c r="I19" s="174"/>
      <c r="J19" s="159"/>
      <c r="K19" s="174"/>
      <c r="L19" s="159"/>
      <c r="M19" s="174"/>
      <c r="N19" s="159"/>
      <c r="O19" s="174"/>
      <c r="P19" s="159"/>
      <c r="Q19" s="174"/>
      <c r="R19" s="159"/>
      <c r="S19" s="223"/>
      <c r="T19" s="160"/>
      <c r="U19" s="174"/>
      <c r="V19" s="159"/>
      <c r="W19" s="241"/>
      <c r="X19" s="159"/>
      <c r="Y19" s="174"/>
      <c r="Z19" s="159"/>
      <c r="AA19" s="174"/>
      <c r="AB19" s="273" t="s">
        <v>13</v>
      </c>
      <c r="AC19" s="145">
        <v>4</v>
      </c>
      <c r="AD19" s="288">
        <v>16</v>
      </c>
      <c r="AE19" s="159"/>
      <c r="AF19" s="174"/>
      <c r="AG19" s="159"/>
      <c r="AH19" s="214"/>
      <c r="AI19" s="159"/>
      <c r="AJ19" s="174"/>
      <c r="AK19" s="162"/>
      <c r="AL19" s="174"/>
      <c r="AM19" s="159"/>
      <c r="AN19" s="174"/>
      <c r="AO19" s="159"/>
      <c r="AP19" s="174"/>
      <c r="AQ19" s="159"/>
      <c r="AR19" s="174"/>
      <c r="AS19" s="159"/>
      <c r="AT19" s="174"/>
      <c r="AU19" s="159"/>
      <c r="AV19" s="174"/>
      <c r="AW19" s="147"/>
      <c r="AX19" s="147"/>
      <c r="AY19" s="147"/>
      <c r="BB19" s="153"/>
      <c r="BC19" s="173"/>
      <c r="BD19" s="173"/>
      <c r="BE19" s="173"/>
      <c r="BF19" s="173"/>
      <c r="BG19" s="168"/>
      <c r="BH19" s="168"/>
      <c r="BI19" s="168"/>
      <c r="BJ19" s="168"/>
      <c r="BK19" s="150"/>
      <c r="BL19" s="150"/>
      <c r="BM19" s="150"/>
      <c r="BN19" s="150"/>
      <c r="BO19" s="150"/>
      <c r="BP19" s="150"/>
      <c r="BQ19" s="150"/>
    </row>
    <row r="20" spans="1:69" s="148" customFormat="1" ht="20.100000000000001" customHeight="1" x14ac:dyDescent="0.35">
      <c r="A20" s="229"/>
      <c r="B20" s="160"/>
      <c r="C20" s="229"/>
      <c r="D20" s="232"/>
      <c r="E20" s="160"/>
      <c r="F20" s="206"/>
      <c r="G20" s="211"/>
      <c r="H20" s="210"/>
      <c r="I20" s="211"/>
      <c r="J20" s="210"/>
      <c r="K20" s="211"/>
      <c r="L20" s="210"/>
      <c r="M20" s="211"/>
      <c r="N20" s="210"/>
      <c r="O20" s="211"/>
      <c r="P20" s="210"/>
      <c r="Q20" s="211"/>
      <c r="R20" s="210"/>
      <c r="S20" s="224"/>
      <c r="T20" s="206"/>
      <c r="U20" s="211"/>
      <c r="V20" s="210"/>
      <c r="W20" s="242"/>
      <c r="X20" s="210"/>
      <c r="Y20" s="211"/>
      <c r="Z20" s="210"/>
      <c r="AA20" s="211"/>
      <c r="AB20" s="274"/>
      <c r="AC20" s="151">
        <v>8</v>
      </c>
      <c r="AD20" s="271"/>
      <c r="AE20" s="210"/>
      <c r="AF20" s="211"/>
      <c r="AG20" s="162"/>
      <c r="AH20" s="174"/>
      <c r="AI20" s="159"/>
      <c r="AJ20" s="174"/>
      <c r="AK20" s="218"/>
      <c r="AL20" s="174"/>
      <c r="AM20" s="162"/>
      <c r="AN20" s="174"/>
      <c r="AO20" s="159"/>
      <c r="AP20" s="174"/>
      <c r="AQ20" s="162"/>
      <c r="AR20" s="174"/>
      <c r="AS20" s="159"/>
      <c r="AT20" s="174"/>
      <c r="AU20" s="161"/>
      <c r="AV20" s="174"/>
      <c r="AW20" s="160"/>
      <c r="AX20" s="147"/>
      <c r="AY20" s="147"/>
      <c r="BB20" s="152"/>
      <c r="BC20" s="173"/>
      <c r="BD20" s="173"/>
      <c r="BE20" s="173"/>
      <c r="BF20" s="173"/>
      <c r="BG20" s="168"/>
      <c r="BH20" s="168"/>
      <c r="BI20" s="168"/>
      <c r="BJ20" s="168"/>
      <c r="BK20" s="150"/>
      <c r="BL20" s="150"/>
      <c r="BM20" s="150"/>
      <c r="BN20" s="150"/>
      <c r="BO20" s="150"/>
      <c r="BP20" s="150"/>
      <c r="BQ20" s="150"/>
    </row>
    <row r="21" spans="1:69" s="148" customFormat="1" ht="20.100000000000001" customHeight="1" x14ac:dyDescent="0.35">
      <c r="A21" s="229"/>
      <c r="B21" s="160"/>
      <c r="C21" s="230"/>
      <c r="D21" s="233"/>
      <c r="E21" s="222"/>
      <c r="F21" s="172"/>
      <c r="G21" s="174"/>
      <c r="H21" s="162"/>
      <c r="I21" s="174"/>
      <c r="J21" s="162"/>
      <c r="K21" s="174"/>
      <c r="L21" s="162"/>
      <c r="M21" s="174"/>
      <c r="N21" s="162"/>
      <c r="O21" s="174"/>
      <c r="P21" s="162"/>
      <c r="Q21" s="174"/>
      <c r="R21" s="162"/>
      <c r="S21" s="223"/>
      <c r="T21" s="172"/>
      <c r="U21" s="174"/>
      <c r="V21" s="162"/>
      <c r="W21" s="241"/>
      <c r="X21" s="162"/>
      <c r="Y21" s="174"/>
      <c r="Z21" s="162"/>
      <c r="AA21" s="174"/>
      <c r="AB21" s="274"/>
      <c r="AC21" s="151">
        <v>12</v>
      </c>
      <c r="AD21" s="271"/>
      <c r="AE21" s="162"/>
      <c r="AF21" s="174"/>
      <c r="AG21" s="159"/>
      <c r="AH21" s="174"/>
      <c r="AI21" s="159"/>
      <c r="AJ21" s="174"/>
      <c r="AK21" s="218"/>
      <c r="AL21" s="174"/>
      <c r="AM21" s="162"/>
      <c r="AN21" s="174"/>
      <c r="AO21" s="159"/>
      <c r="AP21" s="174"/>
      <c r="AQ21" s="162"/>
      <c r="AR21" s="174"/>
      <c r="AS21" s="159"/>
      <c r="AT21" s="174"/>
      <c r="AU21" s="162"/>
      <c r="AV21" s="174"/>
      <c r="AW21" s="160"/>
      <c r="AX21" s="147"/>
      <c r="AY21" s="147"/>
      <c r="BB21" s="153"/>
      <c r="BC21" s="173"/>
      <c r="BD21" s="173"/>
      <c r="BE21" s="173"/>
      <c r="BF21" s="173"/>
      <c r="BG21" s="168"/>
      <c r="BH21" s="168"/>
      <c r="BI21" s="168"/>
      <c r="BJ21" s="168"/>
      <c r="BK21" s="150"/>
      <c r="BL21" s="150"/>
      <c r="BM21" s="150"/>
      <c r="BN21" s="150"/>
      <c r="BO21" s="150"/>
      <c r="BP21" s="150"/>
      <c r="BQ21" s="150"/>
    </row>
    <row r="22" spans="1:69" s="148" customFormat="1" ht="20.100000000000001" customHeight="1" x14ac:dyDescent="0.35">
      <c r="A22" s="160"/>
      <c r="B22" s="160"/>
      <c r="C22" s="160"/>
      <c r="D22" s="234"/>
      <c r="E22" s="160"/>
      <c r="F22" s="165"/>
      <c r="G22" s="175"/>
      <c r="H22" s="166"/>
      <c r="I22" s="175"/>
      <c r="J22" s="166"/>
      <c r="K22" s="175"/>
      <c r="L22" s="166"/>
      <c r="M22" s="175"/>
      <c r="N22" s="166"/>
      <c r="O22" s="175"/>
      <c r="P22" s="166"/>
      <c r="Q22" s="175"/>
      <c r="R22" s="166"/>
      <c r="S22" s="225"/>
      <c r="T22" s="165"/>
      <c r="U22" s="175"/>
      <c r="V22" s="166"/>
      <c r="W22" s="243"/>
      <c r="X22" s="166"/>
      <c r="Y22" s="175"/>
      <c r="Z22" s="166"/>
      <c r="AA22" s="175"/>
      <c r="AB22" s="274"/>
      <c r="AC22" s="151">
        <v>16</v>
      </c>
      <c r="AD22" s="271"/>
      <c r="AE22" s="166"/>
      <c r="AF22" s="175"/>
      <c r="AG22" s="164"/>
      <c r="AH22" s="175"/>
      <c r="AI22" s="162"/>
      <c r="AJ22" s="216"/>
      <c r="AK22" s="166"/>
      <c r="AL22" s="219"/>
      <c r="AM22" s="164"/>
      <c r="AN22" s="216"/>
      <c r="AO22" s="164"/>
      <c r="AP22" s="175"/>
      <c r="AQ22" s="166"/>
      <c r="AR22" s="175"/>
      <c r="AS22" s="164"/>
      <c r="AT22" s="175"/>
      <c r="AU22" s="166"/>
      <c r="AV22" s="175"/>
      <c r="AW22" s="160"/>
      <c r="AX22" s="147"/>
      <c r="AY22" s="147"/>
      <c r="BB22" s="153"/>
      <c r="BC22" s="176"/>
      <c r="BD22" s="177"/>
      <c r="BE22" s="178"/>
      <c r="BF22" s="178"/>
      <c r="BG22" s="178"/>
      <c r="BH22" s="177"/>
      <c r="BI22" s="177"/>
      <c r="BJ22" s="168"/>
      <c r="BK22" s="150"/>
      <c r="BL22" s="150"/>
      <c r="BM22" s="150"/>
      <c r="BN22" s="150"/>
      <c r="BO22" s="150"/>
      <c r="BP22" s="150"/>
      <c r="BQ22" s="150"/>
    </row>
    <row r="23" spans="1:69" s="148" customFormat="1" ht="20.100000000000001" customHeight="1" x14ac:dyDescent="0.35">
      <c r="A23" s="207"/>
      <c r="B23" s="160"/>
      <c r="C23" s="207"/>
      <c r="D23" s="223"/>
      <c r="E23" s="222"/>
      <c r="F23" s="168"/>
      <c r="G23" s="212"/>
      <c r="H23" s="167"/>
      <c r="I23" s="212"/>
      <c r="J23" s="167"/>
      <c r="K23" s="212"/>
      <c r="L23" s="167"/>
      <c r="M23" s="212"/>
      <c r="N23" s="167"/>
      <c r="O23" s="212"/>
      <c r="P23" s="167"/>
      <c r="Q23" s="212"/>
      <c r="R23" s="167"/>
      <c r="S23" s="226"/>
      <c r="T23" s="168"/>
      <c r="U23" s="212"/>
      <c r="V23" s="167"/>
      <c r="W23" s="244"/>
      <c r="X23" s="167"/>
      <c r="Y23" s="212"/>
      <c r="Z23" s="167"/>
      <c r="AA23" s="212"/>
      <c r="AB23" s="274"/>
      <c r="AC23" s="151">
        <v>20</v>
      </c>
      <c r="AD23" s="271"/>
      <c r="AE23" s="167"/>
      <c r="AF23" s="212"/>
      <c r="AG23" s="167"/>
      <c r="AH23" s="212"/>
      <c r="AI23" s="166"/>
      <c r="AJ23" s="212"/>
      <c r="AK23" s="166"/>
      <c r="AL23" s="212"/>
      <c r="AM23" s="167"/>
      <c r="AN23" s="212"/>
      <c r="AO23" s="167"/>
      <c r="AP23" s="221"/>
      <c r="AQ23" s="167"/>
      <c r="AR23" s="212"/>
      <c r="AS23" s="167"/>
      <c r="AT23" s="212"/>
      <c r="AU23" s="167"/>
      <c r="AV23" s="212"/>
      <c r="AW23" s="147"/>
      <c r="AX23" s="147"/>
      <c r="AY23" s="147"/>
      <c r="BB23" s="152"/>
      <c r="BC23" s="177"/>
      <c r="BD23" s="177"/>
      <c r="BE23" s="178"/>
      <c r="BF23" s="178"/>
      <c r="BG23" s="178"/>
      <c r="BH23" s="177"/>
      <c r="BI23" s="177"/>
      <c r="BJ23" s="168"/>
      <c r="BK23" s="150"/>
      <c r="BL23" s="150"/>
      <c r="BM23" s="150"/>
      <c r="BN23" s="150"/>
      <c r="BO23" s="150"/>
      <c r="BP23" s="150"/>
      <c r="BQ23" s="150"/>
    </row>
    <row r="24" spans="1:69" s="148" customFormat="1" ht="20.100000000000001" customHeight="1" thickBot="1" x14ac:dyDescent="0.35">
      <c r="A24" s="170"/>
      <c r="B24" s="170"/>
      <c r="C24" s="231"/>
      <c r="D24" s="235"/>
      <c r="E24" s="228"/>
      <c r="F24" s="208"/>
      <c r="G24" s="213"/>
      <c r="H24" s="171"/>
      <c r="I24" s="213"/>
      <c r="J24" s="171"/>
      <c r="K24" s="213"/>
      <c r="L24" s="171"/>
      <c r="M24" s="213"/>
      <c r="N24" s="171"/>
      <c r="O24" s="213"/>
      <c r="P24" s="171"/>
      <c r="Q24" s="213"/>
      <c r="R24" s="171"/>
      <c r="S24" s="227"/>
      <c r="T24" s="208"/>
      <c r="U24" s="213"/>
      <c r="V24" s="171"/>
      <c r="W24" s="245"/>
      <c r="X24" s="171"/>
      <c r="Y24" s="213"/>
      <c r="Z24" s="171"/>
      <c r="AA24" s="213"/>
      <c r="AB24" s="275"/>
      <c r="AC24" s="157">
        <v>24</v>
      </c>
      <c r="AD24" s="277"/>
      <c r="AE24" s="171"/>
      <c r="AF24" s="213"/>
      <c r="AG24" s="215"/>
      <c r="AH24" s="213"/>
      <c r="AI24" s="179"/>
      <c r="AJ24" s="217"/>
      <c r="AK24" s="179"/>
      <c r="AL24" s="217"/>
      <c r="AM24" s="220"/>
      <c r="AN24" s="217"/>
      <c r="AO24" s="179"/>
      <c r="AP24" s="217"/>
      <c r="AQ24" s="169"/>
      <c r="AR24" s="217"/>
      <c r="AS24" s="169"/>
      <c r="AT24" s="217"/>
      <c r="AU24" s="171"/>
      <c r="AV24" s="213"/>
      <c r="AW24" s="147"/>
      <c r="AX24" s="147"/>
      <c r="AY24" s="147"/>
      <c r="BB24" s="153"/>
      <c r="BC24" s="177"/>
      <c r="BD24" s="177"/>
      <c r="BE24" s="178"/>
      <c r="BF24" s="178"/>
      <c r="BG24" s="178"/>
      <c r="BH24" s="177"/>
      <c r="BI24" s="177"/>
      <c r="BJ24" s="168"/>
      <c r="BK24" s="150"/>
      <c r="BL24" s="150"/>
      <c r="BM24" s="150"/>
      <c r="BN24" s="150"/>
      <c r="BO24" s="150"/>
      <c r="BP24" s="150"/>
      <c r="BQ24" s="150"/>
    </row>
    <row r="25" spans="1:69" s="148" customFormat="1" ht="20.100000000000001" customHeight="1" x14ac:dyDescent="0.3">
      <c r="A25" s="160"/>
      <c r="B25" s="160"/>
      <c r="C25" s="160"/>
      <c r="D25" s="223"/>
      <c r="E25" s="160"/>
      <c r="F25" s="160"/>
      <c r="G25" s="174"/>
      <c r="H25" s="159"/>
      <c r="I25" s="174"/>
      <c r="J25" s="159"/>
      <c r="K25" s="174"/>
      <c r="L25" s="159"/>
      <c r="M25" s="174"/>
      <c r="N25" s="159"/>
      <c r="O25" s="174"/>
      <c r="P25" s="159"/>
      <c r="Q25" s="174"/>
      <c r="R25" s="159"/>
      <c r="S25" s="223"/>
      <c r="T25" s="160"/>
      <c r="U25" s="174"/>
      <c r="V25" s="159"/>
      <c r="W25" s="241"/>
      <c r="X25" s="159"/>
      <c r="Y25" s="174"/>
      <c r="Z25" s="159"/>
      <c r="AA25" s="174"/>
      <c r="AB25" s="273" t="s">
        <v>14</v>
      </c>
      <c r="AC25" s="145">
        <v>4</v>
      </c>
      <c r="AD25" s="270">
        <v>17</v>
      </c>
      <c r="AE25" s="159"/>
      <c r="AF25" s="174"/>
      <c r="AG25" s="159"/>
      <c r="AH25" s="214"/>
      <c r="AI25" s="159"/>
      <c r="AJ25" s="174"/>
      <c r="AK25" s="162"/>
      <c r="AL25" s="174"/>
      <c r="AM25" s="159"/>
      <c r="AN25" s="174"/>
      <c r="AO25" s="159"/>
      <c r="AP25" s="174"/>
      <c r="AQ25" s="159"/>
      <c r="AR25" s="174"/>
      <c r="AS25" s="159"/>
      <c r="AT25" s="174"/>
      <c r="AU25" s="159"/>
      <c r="AV25" s="174"/>
      <c r="AW25" s="147"/>
      <c r="AX25" s="147"/>
      <c r="AY25" s="147"/>
      <c r="BB25" s="152"/>
      <c r="BC25" s="173"/>
      <c r="BD25" s="173"/>
      <c r="BE25" s="173"/>
      <c r="BF25" s="173"/>
      <c r="BG25" s="168"/>
      <c r="BH25" s="168"/>
      <c r="BI25" s="168"/>
      <c r="BJ25" s="168"/>
      <c r="BK25" s="150"/>
      <c r="BL25" s="150"/>
      <c r="BM25" s="150"/>
      <c r="BN25" s="150"/>
      <c r="BO25" s="150"/>
      <c r="BP25" s="150"/>
      <c r="BQ25" s="150"/>
    </row>
    <row r="26" spans="1:69" s="148" customFormat="1" ht="20.100000000000001" customHeight="1" x14ac:dyDescent="0.35">
      <c r="A26" s="229"/>
      <c r="B26" s="160"/>
      <c r="C26" s="229"/>
      <c r="D26" s="232"/>
      <c r="E26" s="160"/>
      <c r="F26" s="206"/>
      <c r="G26" s="211"/>
      <c r="H26" s="210"/>
      <c r="I26" s="211"/>
      <c r="J26" s="210"/>
      <c r="K26" s="211"/>
      <c r="L26" s="210"/>
      <c r="M26" s="211"/>
      <c r="N26" s="210"/>
      <c r="O26" s="211"/>
      <c r="P26" s="210"/>
      <c r="Q26" s="211"/>
      <c r="R26" s="210"/>
      <c r="S26" s="224"/>
      <c r="T26" s="206"/>
      <c r="U26" s="211"/>
      <c r="V26" s="210"/>
      <c r="W26" s="242"/>
      <c r="X26" s="210"/>
      <c r="Y26" s="211"/>
      <c r="Z26" s="210"/>
      <c r="AA26" s="211"/>
      <c r="AB26" s="274"/>
      <c r="AC26" s="151">
        <v>8</v>
      </c>
      <c r="AD26" s="271"/>
      <c r="AE26" s="210"/>
      <c r="AF26" s="211"/>
      <c r="AG26" s="162"/>
      <c r="AH26" s="174"/>
      <c r="AI26" s="159"/>
      <c r="AJ26" s="174"/>
      <c r="AK26" s="218"/>
      <c r="AL26" s="174"/>
      <c r="AM26" s="162"/>
      <c r="AN26" s="174"/>
      <c r="AO26" s="159"/>
      <c r="AP26" s="174"/>
      <c r="AQ26" s="162"/>
      <c r="AR26" s="174"/>
      <c r="AS26" s="159"/>
      <c r="AT26" s="174"/>
      <c r="AU26" s="161"/>
      <c r="AV26" s="174"/>
      <c r="AW26" s="147"/>
      <c r="AX26" s="147"/>
      <c r="AY26" s="147"/>
      <c r="BB26" s="153"/>
      <c r="BC26" s="173"/>
      <c r="BD26" s="173"/>
      <c r="BE26" s="173"/>
      <c r="BF26" s="173"/>
      <c r="BG26" s="168"/>
      <c r="BH26" s="168"/>
      <c r="BI26" s="168"/>
      <c r="BJ26" s="168"/>
      <c r="BK26" s="150"/>
      <c r="BL26" s="150"/>
      <c r="BM26" s="150"/>
      <c r="BN26" s="150"/>
      <c r="BO26" s="150"/>
      <c r="BP26" s="150"/>
      <c r="BQ26" s="150"/>
    </row>
    <row r="27" spans="1:69" s="148" customFormat="1" ht="20.100000000000001" customHeight="1" x14ac:dyDescent="0.35">
      <c r="A27" s="229"/>
      <c r="B27" s="160"/>
      <c r="C27" s="230"/>
      <c r="D27" s="233"/>
      <c r="E27" s="222"/>
      <c r="F27" s="172"/>
      <c r="G27" s="174"/>
      <c r="H27" s="162"/>
      <c r="I27" s="174"/>
      <c r="J27" s="162"/>
      <c r="K27" s="174"/>
      <c r="L27" s="162"/>
      <c r="M27" s="174"/>
      <c r="N27" s="162"/>
      <c r="O27" s="174"/>
      <c r="P27" s="162"/>
      <c r="Q27" s="174"/>
      <c r="R27" s="162"/>
      <c r="S27" s="223"/>
      <c r="T27" s="172"/>
      <c r="U27" s="174"/>
      <c r="V27" s="162"/>
      <c r="W27" s="241"/>
      <c r="X27" s="162"/>
      <c r="Y27" s="174"/>
      <c r="Z27" s="162"/>
      <c r="AA27" s="174"/>
      <c r="AB27" s="274"/>
      <c r="AC27" s="151">
        <v>12</v>
      </c>
      <c r="AD27" s="271"/>
      <c r="AE27" s="162"/>
      <c r="AF27" s="174"/>
      <c r="AG27" s="159"/>
      <c r="AH27" s="174"/>
      <c r="AI27" s="159"/>
      <c r="AJ27" s="174"/>
      <c r="AK27" s="218"/>
      <c r="AL27" s="174"/>
      <c r="AM27" s="162"/>
      <c r="AN27" s="174"/>
      <c r="AO27" s="159"/>
      <c r="AP27" s="174"/>
      <c r="AQ27" s="162"/>
      <c r="AR27" s="174"/>
      <c r="AS27" s="159"/>
      <c r="AT27" s="174"/>
      <c r="AU27" s="162"/>
      <c r="AV27" s="174"/>
      <c r="AW27" s="147"/>
      <c r="AX27" s="147"/>
      <c r="AY27" s="147"/>
      <c r="BB27" s="152"/>
      <c r="BC27" s="173"/>
      <c r="BD27" s="173"/>
      <c r="BE27" s="173"/>
      <c r="BF27" s="173"/>
      <c r="BG27" s="168"/>
      <c r="BH27" s="168"/>
      <c r="BI27" s="168"/>
      <c r="BJ27" s="168"/>
      <c r="BK27" s="150"/>
      <c r="BL27" s="150"/>
      <c r="BM27" s="150"/>
      <c r="BN27" s="150"/>
      <c r="BO27" s="150"/>
      <c r="BP27" s="150"/>
      <c r="BQ27" s="150"/>
    </row>
    <row r="28" spans="1:69" s="148" customFormat="1" ht="20.100000000000001" customHeight="1" x14ac:dyDescent="0.35">
      <c r="A28" s="160"/>
      <c r="B28" s="160"/>
      <c r="C28" s="160"/>
      <c r="D28" s="234"/>
      <c r="E28" s="160"/>
      <c r="F28" s="165"/>
      <c r="G28" s="175"/>
      <c r="H28" s="166"/>
      <c r="I28" s="175"/>
      <c r="J28" s="166"/>
      <c r="K28" s="175"/>
      <c r="L28" s="166"/>
      <c r="M28" s="175"/>
      <c r="N28" s="166"/>
      <c r="O28" s="175"/>
      <c r="P28" s="166"/>
      <c r="Q28" s="175"/>
      <c r="R28" s="166"/>
      <c r="S28" s="225"/>
      <c r="T28" s="165"/>
      <c r="U28" s="175"/>
      <c r="V28" s="166"/>
      <c r="W28" s="243"/>
      <c r="X28" s="166"/>
      <c r="Y28" s="175"/>
      <c r="Z28" s="166"/>
      <c r="AA28" s="175"/>
      <c r="AB28" s="274"/>
      <c r="AC28" s="151">
        <v>16</v>
      </c>
      <c r="AD28" s="271"/>
      <c r="AE28" s="166"/>
      <c r="AF28" s="175"/>
      <c r="AG28" s="164"/>
      <c r="AH28" s="175"/>
      <c r="AI28" s="162"/>
      <c r="AJ28" s="216"/>
      <c r="AK28" s="166"/>
      <c r="AL28" s="219"/>
      <c r="AM28" s="164"/>
      <c r="AN28" s="216"/>
      <c r="AO28" s="164"/>
      <c r="AP28" s="175"/>
      <c r="AQ28" s="166"/>
      <c r="AR28" s="175"/>
      <c r="AS28" s="164"/>
      <c r="AT28" s="175"/>
      <c r="AU28" s="166"/>
      <c r="AV28" s="175"/>
      <c r="AW28" s="147"/>
      <c r="AX28" s="147"/>
      <c r="AY28" s="147"/>
      <c r="BB28" s="153"/>
      <c r="BC28" s="173"/>
      <c r="BD28" s="173"/>
      <c r="BE28" s="173"/>
      <c r="BF28" s="153"/>
      <c r="BG28" s="156"/>
      <c r="BH28" s="156"/>
      <c r="BI28" s="156"/>
      <c r="BJ28" s="156"/>
      <c r="BK28" s="150"/>
      <c r="BL28" s="150"/>
      <c r="BM28" s="150"/>
      <c r="BN28" s="150"/>
      <c r="BO28" s="150"/>
      <c r="BP28" s="150"/>
      <c r="BQ28" s="150"/>
    </row>
    <row r="29" spans="1:69" s="148" customFormat="1" ht="20.100000000000001" customHeight="1" x14ac:dyDescent="0.35">
      <c r="A29" s="207"/>
      <c r="B29" s="160"/>
      <c r="C29" s="207"/>
      <c r="D29" s="223"/>
      <c r="E29" s="222"/>
      <c r="F29" s="168"/>
      <c r="G29" s="212"/>
      <c r="H29" s="167"/>
      <c r="I29" s="212"/>
      <c r="J29" s="167"/>
      <c r="K29" s="212"/>
      <c r="L29" s="167"/>
      <c r="M29" s="212"/>
      <c r="N29" s="167"/>
      <c r="O29" s="212"/>
      <c r="P29" s="167"/>
      <c r="Q29" s="212"/>
      <c r="R29" s="167"/>
      <c r="S29" s="226"/>
      <c r="T29" s="168"/>
      <c r="U29" s="212"/>
      <c r="V29" s="167"/>
      <c r="W29" s="244"/>
      <c r="X29" s="167"/>
      <c r="Y29" s="212"/>
      <c r="Z29" s="167"/>
      <c r="AA29" s="212"/>
      <c r="AB29" s="274"/>
      <c r="AC29" s="151">
        <v>20</v>
      </c>
      <c r="AD29" s="271"/>
      <c r="AE29" s="167"/>
      <c r="AF29" s="212"/>
      <c r="AG29" s="167"/>
      <c r="AH29" s="212"/>
      <c r="AI29" s="166"/>
      <c r="AJ29" s="212"/>
      <c r="AK29" s="166"/>
      <c r="AL29" s="212"/>
      <c r="AM29" s="167"/>
      <c r="AN29" s="212"/>
      <c r="AO29" s="167"/>
      <c r="AP29" s="221"/>
      <c r="AQ29" s="167"/>
      <c r="AR29" s="212"/>
      <c r="AS29" s="167"/>
      <c r="AT29" s="212"/>
      <c r="AU29" s="167"/>
      <c r="AV29" s="212"/>
      <c r="AW29" s="147"/>
      <c r="AX29" s="147"/>
      <c r="AY29" s="147"/>
      <c r="BB29" s="152"/>
      <c r="BC29" s="173"/>
      <c r="BD29" s="173"/>
      <c r="BE29" s="173"/>
      <c r="BF29" s="153"/>
      <c r="BG29" s="156"/>
      <c r="BH29" s="156"/>
      <c r="BI29" s="156"/>
      <c r="BJ29" s="156"/>
      <c r="BK29" s="150"/>
      <c r="BL29" s="150"/>
      <c r="BM29" s="150"/>
      <c r="BN29" s="150"/>
      <c r="BO29" s="150"/>
      <c r="BP29" s="150"/>
      <c r="BQ29" s="150"/>
    </row>
    <row r="30" spans="1:69" s="148" customFormat="1" ht="20.100000000000001" customHeight="1" thickBot="1" x14ac:dyDescent="0.35">
      <c r="A30" s="170"/>
      <c r="B30" s="170"/>
      <c r="C30" s="231"/>
      <c r="D30" s="235"/>
      <c r="E30" s="228"/>
      <c r="F30" s="208"/>
      <c r="G30" s="213"/>
      <c r="H30" s="171"/>
      <c r="I30" s="213"/>
      <c r="J30" s="171"/>
      <c r="K30" s="213"/>
      <c r="L30" s="171"/>
      <c r="M30" s="213"/>
      <c r="N30" s="171"/>
      <c r="O30" s="213"/>
      <c r="P30" s="171"/>
      <c r="Q30" s="213"/>
      <c r="R30" s="171"/>
      <c r="S30" s="227"/>
      <c r="T30" s="208"/>
      <c r="U30" s="213"/>
      <c r="V30" s="171"/>
      <c r="W30" s="245"/>
      <c r="X30" s="171"/>
      <c r="Y30" s="213"/>
      <c r="Z30" s="171"/>
      <c r="AA30" s="213"/>
      <c r="AB30" s="275"/>
      <c r="AC30" s="157">
        <v>24</v>
      </c>
      <c r="AD30" s="277"/>
      <c r="AE30" s="171"/>
      <c r="AF30" s="213"/>
      <c r="AG30" s="215"/>
      <c r="AH30" s="213"/>
      <c r="AI30" s="179"/>
      <c r="AJ30" s="217"/>
      <c r="AK30" s="179"/>
      <c r="AL30" s="217"/>
      <c r="AM30" s="220"/>
      <c r="AN30" s="217"/>
      <c r="AO30" s="179"/>
      <c r="AP30" s="217"/>
      <c r="AQ30" s="169"/>
      <c r="AR30" s="217"/>
      <c r="AS30" s="169"/>
      <c r="AT30" s="217"/>
      <c r="AU30" s="171"/>
      <c r="AV30" s="213"/>
      <c r="AW30" s="160"/>
      <c r="AX30" s="160"/>
      <c r="AY30" s="147"/>
      <c r="BB30" s="152"/>
      <c r="BC30" s="153"/>
      <c r="BD30" s="153"/>
      <c r="BE30" s="153"/>
      <c r="BF30" s="153"/>
      <c r="BG30" s="156"/>
      <c r="BH30" s="156"/>
      <c r="BI30" s="156"/>
      <c r="BJ30" s="156"/>
      <c r="BK30" s="150"/>
      <c r="BL30" s="150"/>
      <c r="BM30" s="150"/>
      <c r="BN30" s="150"/>
      <c r="BO30" s="150"/>
      <c r="BP30" s="150"/>
      <c r="BQ30" s="150"/>
    </row>
    <row r="31" spans="1:69" s="148" customFormat="1" ht="20.100000000000001" customHeight="1" x14ac:dyDescent="0.3">
      <c r="A31" s="160"/>
      <c r="B31" s="160"/>
      <c r="C31" s="160"/>
      <c r="D31" s="223"/>
      <c r="E31" s="160"/>
      <c r="F31" s="160"/>
      <c r="G31" s="174"/>
      <c r="H31" s="159"/>
      <c r="I31" s="174"/>
      <c r="J31" s="159"/>
      <c r="K31" s="174"/>
      <c r="L31" s="159"/>
      <c r="M31" s="174"/>
      <c r="N31" s="159"/>
      <c r="O31" s="174"/>
      <c r="P31" s="159"/>
      <c r="Q31" s="174"/>
      <c r="R31" s="159"/>
      <c r="S31" s="223"/>
      <c r="T31" s="160"/>
      <c r="U31" s="174"/>
      <c r="V31" s="159"/>
      <c r="W31" s="241"/>
      <c r="X31" s="159"/>
      <c r="Y31" s="174"/>
      <c r="Z31" s="159"/>
      <c r="AA31" s="174"/>
      <c r="AB31" s="273" t="s">
        <v>15</v>
      </c>
      <c r="AC31" s="145">
        <v>4</v>
      </c>
      <c r="AD31" s="270">
        <v>18</v>
      </c>
      <c r="AE31" s="159"/>
      <c r="AF31" s="174"/>
      <c r="AG31" s="159"/>
      <c r="AH31" s="214"/>
      <c r="AI31" s="159"/>
      <c r="AJ31" s="174"/>
      <c r="AK31" s="162"/>
      <c r="AL31" s="174"/>
      <c r="AM31" s="159"/>
      <c r="AN31" s="174"/>
      <c r="AO31" s="159"/>
      <c r="AP31" s="174"/>
      <c r="AQ31" s="159"/>
      <c r="AR31" s="174"/>
      <c r="AS31" s="159"/>
      <c r="AT31" s="174"/>
      <c r="AU31" s="159"/>
      <c r="AV31" s="174"/>
      <c r="AW31" s="147"/>
      <c r="AX31" s="147"/>
      <c r="AY31" s="147"/>
      <c r="BB31" s="153"/>
      <c r="BC31" s="153"/>
      <c r="BD31" s="153"/>
      <c r="BE31" s="153"/>
      <c r="BF31" s="153"/>
      <c r="BG31" s="156"/>
      <c r="BH31" s="156"/>
      <c r="BI31" s="156"/>
      <c r="BJ31" s="156"/>
      <c r="BK31" s="150"/>
      <c r="BL31" s="150"/>
      <c r="BM31" s="150"/>
      <c r="BN31" s="150"/>
      <c r="BO31" s="150"/>
      <c r="BP31" s="150"/>
      <c r="BQ31" s="150"/>
    </row>
    <row r="32" spans="1:69" s="148" customFormat="1" ht="20.100000000000001" customHeight="1" x14ac:dyDescent="0.35">
      <c r="A32" s="229"/>
      <c r="B32" s="160"/>
      <c r="C32" s="229"/>
      <c r="D32" s="232"/>
      <c r="E32" s="160"/>
      <c r="F32" s="206"/>
      <c r="G32" s="211"/>
      <c r="H32" s="210"/>
      <c r="I32" s="211"/>
      <c r="J32" s="210"/>
      <c r="K32" s="211"/>
      <c r="L32" s="210"/>
      <c r="M32" s="211"/>
      <c r="N32" s="210"/>
      <c r="O32" s="211"/>
      <c r="P32" s="210"/>
      <c r="Q32" s="211"/>
      <c r="R32" s="210"/>
      <c r="S32" s="224"/>
      <c r="T32" s="206"/>
      <c r="U32" s="211"/>
      <c r="V32" s="210"/>
      <c r="W32" s="242"/>
      <c r="X32" s="210"/>
      <c r="Y32" s="211"/>
      <c r="Z32" s="210"/>
      <c r="AA32" s="211"/>
      <c r="AB32" s="274"/>
      <c r="AC32" s="151">
        <v>8</v>
      </c>
      <c r="AD32" s="271"/>
      <c r="AE32" s="210"/>
      <c r="AF32" s="211"/>
      <c r="AG32" s="162"/>
      <c r="AH32" s="174"/>
      <c r="AI32" s="159"/>
      <c r="AJ32" s="174"/>
      <c r="AK32" s="218"/>
      <c r="AL32" s="174"/>
      <c r="AM32" s="162"/>
      <c r="AN32" s="174"/>
      <c r="AO32" s="159"/>
      <c r="AP32" s="174"/>
      <c r="AQ32" s="162"/>
      <c r="AR32" s="174"/>
      <c r="AS32" s="159"/>
      <c r="AT32" s="174"/>
      <c r="AU32" s="161"/>
      <c r="AV32" s="174"/>
      <c r="AW32" s="147"/>
      <c r="AX32" s="147"/>
      <c r="AY32" s="147"/>
      <c r="BB32" s="153"/>
      <c r="BC32" s="153"/>
      <c r="BD32" s="153"/>
      <c r="BE32" s="153"/>
      <c r="BF32" s="153"/>
      <c r="BG32" s="156"/>
      <c r="BH32" s="156"/>
      <c r="BI32" s="156"/>
      <c r="BJ32" s="156"/>
      <c r="BK32" s="150"/>
      <c r="BL32" s="150"/>
      <c r="BM32" s="150"/>
      <c r="BN32" s="150"/>
      <c r="BO32" s="150"/>
      <c r="BP32" s="150"/>
      <c r="BQ32" s="150"/>
    </row>
    <row r="33" spans="1:69" s="148" customFormat="1" ht="20.100000000000001" customHeight="1" x14ac:dyDescent="0.35">
      <c r="A33" s="229"/>
      <c r="B33" s="160"/>
      <c r="C33" s="230"/>
      <c r="D33" s="233"/>
      <c r="E33" s="222"/>
      <c r="F33" s="172"/>
      <c r="G33" s="174"/>
      <c r="H33" s="162"/>
      <c r="I33" s="174"/>
      <c r="J33" s="162"/>
      <c r="K33" s="174"/>
      <c r="L33" s="162"/>
      <c r="M33" s="174"/>
      <c r="N33" s="162"/>
      <c r="O33" s="174"/>
      <c r="P33" s="162"/>
      <c r="Q33" s="174"/>
      <c r="R33" s="162"/>
      <c r="S33" s="223"/>
      <c r="T33" s="172"/>
      <c r="U33" s="174"/>
      <c r="V33" s="162"/>
      <c r="W33" s="241"/>
      <c r="X33" s="162"/>
      <c r="Y33" s="174"/>
      <c r="Z33" s="162"/>
      <c r="AA33" s="174"/>
      <c r="AB33" s="274"/>
      <c r="AC33" s="151">
        <v>12</v>
      </c>
      <c r="AD33" s="271"/>
      <c r="AE33" s="162"/>
      <c r="AF33" s="174"/>
      <c r="AG33" s="159"/>
      <c r="AH33" s="174"/>
      <c r="AI33" s="159"/>
      <c r="AJ33" s="174"/>
      <c r="AK33" s="218"/>
      <c r="AL33" s="174"/>
      <c r="AM33" s="162"/>
      <c r="AN33" s="174"/>
      <c r="AO33" s="159"/>
      <c r="AP33" s="174"/>
      <c r="AQ33" s="162"/>
      <c r="AR33" s="174"/>
      <c r="AS33" s="159"/>
      <c r="AT33" s="174"/>
      <c r="AU33" s="162"/>
      <c r="AV33" s="174"/>
      <c r="AW33" s="147"/>
      <c r="AX33" s="147"/>
      <c r="AY33" s="147"/>
      <c r="BB33" s="153"/>
      <c r="BC33" s="153"/>
      <c r="BD33" s="153"/>
      <c r="BE33" s="153"/>
      <c r="BF33" s="153"/>
      <c r="BG33" s="156"/>
      <c r="BH33" s="156"/>
      <c r="BI33" s="156"/>
      <c r="BJ33" s="156"/>
      <c r="BK33" s="150"/>
      <c r="BL33" s="150"/>
      <c r="BM33" s="150"/>
      <c r="BN33" s="150"/>
      <c r="BO33" s="150"/>
      <c r="BP33" s="150"/>
      <c r="BQ33" s="150"/>
    </row>
    <row r="34" spans="1:69" s="148" customFormat="1" ht="20.100000000000001" customHeight="1" x14ac:dyDescent="0.35">
      <c r="A34" s="160"/>
      <c r="B34" s="160"/>
      <c r="C34" s="160"/>
      <c r="D34" s="234"/>
      <c r="E34" s="160"/>
      <c r="F34" s="165"/>
      <c r="G34" s="175"/>
      <c r="H34" s="166"/>
      <c r="I34" s="175"/>
      <c r="J34" s="166"/>
      <c r="K34" s="175"/>
      <c r="L34" s="166"/>
      <c r="M34" s="175"/>
      <c r="N34" s="166"/>
      <c r="O34" s="175"/>
      <c r="P34" s="166"/>
      <c r="Q34" s="175"/>
      <c r="R34" s="166"/>
      <c r="S34" s="225"/>
      <c r="T34" s="165"/>
      <c r="U34" s="175"/>
      <c r="V34" s="166"/>
      <c r="W34" s="243"/>
      <c r="X34" s="166"/>
      <c r="Y34" s="175"/>
      <c r="Z34" s="166"/>
      <c r="AA34" s="175"/>
      <c r="AB34" s="274"/>
      <c r="AC34" s="151">
        <v>16</v>
      </c>
      <c r="AD34" s="271"/>
      <c r="AE34" s="166"/>
      <c r="AF34" s="175"/>
      <c r="AG34" s="164"/>
      <c r="AH34" s="175"/>
      <c r="AI34" s="162"/>
      <c r="AJ34" s="216"/>
      <c r="AK34" s="166"/>
      <c r="AL34" s="219"/>
      <c r="AM34" s="164"/>
      <c r="AN34" s="216"/>
      <c r="AO34" s="164"/>
      <c r="AP34" s="175"/>
      <c r="AQ34" s="166"/>
      <c r="AR34" s="175"/>
      <c r="AS34" s="164"/>
      <c r="AT34" s="175"/>
      <c r="AU34" s="166"/>
      <c r="AV34" s="175"/>
      <c r="AW34" s="155"/>
      <c r="AX34" s="147"/>
      <c r="AY34" s="147"/>
      <c r="BB34" s="180"/>
      <c r="BC34" s="181"/>
      <c r="BD34" s="182"/>
      <c r="BE34" s="182"/>
      <c r="BF34" s="182"/>
      <c r="BG34" s="182"/>
      <c r="BH34" s="182"/>
      <c r="BI34" s="182"/>
      <c r="BJ34" s="182"/>
      <c r="BK34" s="182"/>
      <c r="BL34" s="182"/>
      <c r="BM34" s="182"/>
      <c r="BN34" s="150"/>
      <c r="BO34" s="150"/>
      <c r="BP34" s="150"/>
      <c r="BQ34" s="150"/>
    </row>
    <row r="35" spans="1:69" s="148" customFormat="1" ht="20.100000000000001" customHeight="1" x14ac:dyDescent="0.35">
      <c r="A35" s="207"/>
      <c r="B35" s="160"/>
      <c r="C35" s="207"/>
      <c r="D35" s="223"/>
      <c r="E35" s="222"/>
      <c r="F35" s="168"/>
      <c r="G35" s="212"/>
      <c r="H35" s="167"/>
      <c r="I35" s="212"/>
      <c r="J35" s="167"/>
      <c r="K35" s="212"/>
      <c r="L35" s="167"/>
      <c r="M35" s="212"/>
      <c r="N35" s="167"/>
      <c r="O35" s="212"/>
      <c r="P35" s="167"/>
      <c r="Q35" s="212"/>
      <c r="R35" s="167"/>
      <c r="S35" s="226"/>
      <c r="T35" s="168"/>
      <c r="U35" s="212"/>
      <c r="V35" s="167"/>
      <c r="W35" s="244"/>
      <c r="X35" s="167"/>
      <c r="Y35" s="212"/>
      <c r="Z35" s="167"/>
      <c r="AA35" s="212"/>
      <c r="AB35" s="274"/>
      <c r="AC35" s="151">
        <v>20</v>
      </c>
      <c r="AD35" s="271"/>
      <c r="AE35" s="167"/>
      <c r="AF35" s="212"/>
      <c r="AG35" s="167"/>
      <c r="AH35" s="212"/>
      <c r="AI35" s="166"/>
      <c r="AJ35" s="212"/>
      <c r="AK35" s="166"/>
      <c r="AL35" s="212"/>
      <c r="AM35" s="167"/>
      <c r="AN35" s="212"/>
      <c r="AO35" s="167"/>
      <c r="AP35" s="221"/>
      <c r="AQ35" s="167"/>
      <c r="AR35" s="212"/>
      <c r="AS35" s="167"/>
      <c r="AT35" s="212"/>
      <c r="AU35" s="167"/>
      <c r="AV35" s="212"/>
      <c r="AW35" s="147"/>
      <c r="AX35" s="147"/>
      <c r="AY35" s="147"/>
      <c r="BB35" s="183"/>
      <c r="BC35" s="181"/>
      <c r="BD35" s="182"/>
      <c r="BE35" s="182"/>
      <c r="BF35" s="182"/>
      <c r="BG35" s="182"/>
      <c r="BH35" s="182"/>
      <c r="BI35" s="182"/>
      <c r="BJ35" s="182"/>
      <c r="BK35" s="182"/>
      <c r="BL35" s="182"/>
      <c r="BM35" s="182"/>
      <c r="BN35" s="150"/>
      <c r="BO35" s="150"/>
      <c r="BP35" s="150"/>
      <c r="BQ35" s="150"/>
    </row>
    <row r="36" spans="1:69" s="148" customFormat="1" ht="20.100000000000001" customHeight="1" thickBot="1" x14ac:dyDescent="0.35">
      <c r="A36" s="170"/>
      <c r="B36" s="170"/>
      <c r="C36" s="231"/>
      <c r="D36" s="235"/>
      <c r="E36" s="228"/>
      <c r="F36" s="208"/>
      <c r="G36" s="213"/>
      <c r="H36" s="171"/>
      <c r="I36" s="213"/>
      <c r="J36" s="171"/>
      <c r="K36" s="213"/>
      <c r="L36" s="171"/>
      <c r="M36" s="213"/>
      <c r="N36" s="171"/>
      <c r="O36" s="213"/>
      <c r="P36" s="171"/>
      <c r="Q36" s="213"/>
      <c r="R36" s="171"/>
      <c r="S36" s="227"/>
      <c r="T36" s="208"/>
      <c r="U36" s="213"/>
      <c r="V36" s="171"/>
      <c r="W36" s="245"/>
      <c r="X36" s="171"/>
      <c r="Y36" s="213"/>
      <c r="Z36" s="171"/>
      <c r="AA36" s="213"/>
      <c r="AB36" s="275"/>
      <c r="AC36" s="157">
        <v>24</v>
      </c>
      <c r="AD36" s="277"/>
      <c r="AE36" s="171"/>
      <c r="AF36" s="213"/>
      <c r="AG36" s="215"/>
      <c r="AH36" s="213"/>
      <c r="AI36" s="179"/>
      <c r="AJ36" s="217"/>
      <c r="AK36" s="179"/>
      <c r="AL36" s="217"/>
      <c r="AM36" s="220"/>
      <c r="AN36" s="217"/>
      <c r="AO36" s="179"/>
      <c r="AP36" s="217"/>
      <c r="AQ36" s="169"/>
      <c r="AR36" s="217"/>
      <c r="AS36" s="169"/>
      <c r="AT36" s="217"/>
      <c r="AU36" s="171"/>
      <c r="AV36" s="213"/>
      <c r="AW36" s="147"/>
      <c r="AX36" s="147"/>
      <c r="AY36" s="147"/>
      <c r="BB36" s="183"/>
      <c r="BC36" s="181"/>
      <c r="BD36" s="182"/>
      <c r="BE36" s="182"/>
      <c r="BF36" s="182"/>
      <c r="BG36" s="182"/>
      <c r="BH36" s="182"/>
      <c r="BI36" s="182"/>
      <c r="BJ36" s="182"/>
      <c r="BK36" s="182"/>
      <c r="BL36" s="182"/>
      <c r="BM36" s="182"/>
      <c r="BN36" s="150"/>
      <c r="BO36" s="150"/>
      <c r="BP36" s="150"/>
      <c r="BQ36" s="150"/>
    </row>
    <row r="37" spans="1:69" s="148" customFormat="1" ht="20.100000000000001" customHeight="1" x14ac:dyDescent="0.3">
      <c r="A37" s="160"/>
      <c r="B37" s="160"/>
      <c r="C37" s="160"/>
      <c r="D37" s="223"/>
      <c r="E37" s="160"/>
      <c r="F37" s="160"/>
      <c r="G37" s="174"/>
      <c r="H37" s="159"/>
      <c r="I37" s="174"/>
      <c r="J37" s="159"/>
      <c r="K37" s="174"/>
      <c r="L37" s="159"/>
      <c r="M37" s="174"/>
      <c r="N37" s="159"/>
      <c r="O37" s="174"/>
      <c r="P37" s="159"/>
      <c r="Q37" s="174"/>
      <c r="R37" s="159"/>
      <c r="S37" s="223"/>
      <c r="T37" s="160"/>
      <c r="U37" s="174"/>
      <c r="V37" s="159"/>
      <c r="W37" s="241"/>
      <c r="X37" s="159"/>
      <c r="Y37" s="174"/>
      <c r="Z37" s="159"/>
      <c r="AA37" s="174"/>
      <c r="AB37" s="278" t="s">
        <v>16</v>
      </c>
      <c r="AC37" s="184">
        <v>4</v>
      </c>
      <c r="AD37" s="270">
        <v>19</v>
      </c>
      <c r="AE37" s="159"/>
      <c r="AF37" s="174"/>
      <c r="AG37" s="159"/>
      <c r="AH37" s="214"/>
      <c r="AI37" s="159"/>
      <c r="AJ37" s="174"/>
      <c r="AK37" s="162"/>
      <c r="AL37" s="174"/>
      <c r="AM37" s="159"/>
      <c r="AN37" s="174"/>
      <c r="AO37" s="159"/>
      <c r="AP37" s="174"/>
      <c r="AQ37" s="159"/>
      <c r="AR37" s="174"/>
      <c r="AS37" s="159"/>
      <c r="AT37" s="174"/>
      <c r="AU37" s="159"/>
      <c r="AV37" s="174"/>
      <c r="AW37" s="147"/>
      <c r="AX37" s="147"/>
      <c r="AY37" s="147"/>
      <c r="BB37" s="183"/>
      <c r="BC37" s="181"/>
      <c r="BD37" s="182"/>
      <c r="BE37" s="182"/>
      <c r="BF37" s="182"/>
      <c r="BG37" s="182"/>
      <c r="BH37" s="182"/>
      <c r="BI37" s="182"/>
      <c r="BJ37" s="182"/>
      <c r="BK37" s="182"/>
      <c r="BL37" s="182"/>
      <c r="BM37" s="182"/>
      <c r="BN37" s="150"/>
      <c r="BO37" s="150"/>
      <c r="BP37" s="150"/>
      <c r="BQ37" s="150"/>
    </row>
    <row r="38" spans="1:69" s="148" customFormat="1" ht="20.100000000000001" customHeight="1" x14ac:dyDescent="0.35">
      <c r="A38" s="229"/>
      <c r="B38" s="160"/>
      <c r="C38" s="229"/>
      <c r="D38" s="232"/>
      <c r="E38" s="160"/>
      <c r="F38" s="206"/>
      <c r="G38" s="211"/>
      <c r="H38" s="210"/>
      <c r="I38" s="211"/>
      <c r="J38" s="210"/>
      <c r="K38" s="211"/>
      <c r="L38" s="210"/>
      <c r="M38" s="211"/>
      <c r="N38" s="210"/>
      <c r="O38" s="211"/>
      <c r="P38" s="210"/>
      <c r="Q38" s="211"/>
      <c r="R38" s="210"/>
      <c r="S38" s="224"/>
      <c r="T38" s="206"/>
      <c r="U38" s="211"/>
      <c r="V38" s="210"/>
      <c r="W38" s="242"/>
      <c r="X38" s="210"/>
      <c r="Y38" s="211"/>
      <c r="Z38" s="210"/>
      <c r="AA38" s="211"/>
      <c r="AB38" s="279"/>
      <c r="AC38" s="151">
        <v>8</v>
      </c>
      <c r="AD38" s="271"/>
      <c r="AE38" s="210"/>
      <c r="AF38" s="211"/>
      <c r="AG38" s="162"/>
      <c r="AH38" s="174"/>
      <c r="AI38" s="159"/>
      <c r="AJ38" s="174"/>
      <c r="AK38" s="218"/>
      <c r="AL38" s="174"/>
      <c r="AM38" s="162"/>
      <c r="AN38" s="174"/>
      <c r="AO38" s="159"/>
      <c r="AP38" s="174"/>
      <c r="AQ38" s="162"/>
      <c r="AR38" s="174"/>
      <c r="AS38" s="159"/>
      <c r="AT38" s="174"/>
      <c r="AU38" s="161"/>
      <c r="AV38" s="174"/>
      <c r="AW38" s="147"/>
      <c r="AX38" s="147"/>
      <c r="AY38" s="147"/>
      <c r="BB38" s="180"/>
      <c r="BC38" s="181"/>
      <c r="BD38" s="182"/>
      <c r="BE38" s="182"/>
      <c r="BF38" s="182"/>
      <c r="BG38" s="182"/>
      <c r="BH38" s="182"/>
      <c r="BI38" s="182"/>
      <c r="BJ38" s="182"/>
      <c r="BK38" s="182"/>
      <c r="BL38" s="182"/>
      <c r="BM38" s="182"/>
      <c r="BN38" s="150"/>
      <c r="BO38" s="150"/>
      <c r="BP38" s="150"/>
      <c r="BQ38" s="150"/>
    </row>
    <row r="39" spans="1:69" s="148" customFormat="1" ht="20.100000000000001" customHeight="1" x14ac:dyDescent="0.35">
      <c r="A39" s="229"/>
      <c r="B39" s="160"/>
      <c r="C39" s="230"/>
      <c r="D39" s="233"/>
      <c r="E39" s="222"/>
      <c r="F39" s="172"/>
      <c r="G39" s="174"/>
      <c r="H39" s="162"/>
      <c r="I39" s="174"/>
      <c r="J39" s="162"/>
      <c r="K39" s="174"/>
      <c r="L39" s="162"/>
      <c r="M39" s="174"/>
      <c r="N39" s="162"/>
      <c r="O39" s="174"/>
      <c r="P39" s="162"/>
      <c r="Q39" s="174"/>
      <c r="R39" s="162"/>
      <c r="S39" s="223"/>
      <c r="T39" s="172"/>
      <c r="U39" s="174"/>
      <c r="V39" s="162"/>
      <c r="W39" s="241"/>
      <c r="X39" s="162"/>
      <c r="Y39" s="174"/>
      <c r="Z39" s="162"/>
      <c r="AA39" s="174"/>
      <c r="AB39" s="279"/>
      <c r="AC39" s="151">
        <v>12</v>
      </c>
      <c r="AD39" s="271"/>
      <c r="AE39" s="162"/>
      <c r="AF39" s="174"/>
      <c r="AG39" s="159"/>
      <c r="AH39" s="174"/>
      <c r="AI39" s="159"/>
      <c r="AJ39" s="174"/>
      <c r="AK39" s="218"/>
      <c r="AL39" s="174"/>
      <c r="AM39" s="162"/>
      <c r="AN39" s="174"/>
      <c r="AO39" s="159"/>
      <c r="AP39" s="174"/>
      <c r="AQ39" s="162"/>
      <c r="AR39" s="174"/>
      <c r="AS39" s="159"/>
      <c r="AT39" s="174"/>
      <c r="AU39" s="162"/>
      <c r="AV39" s="174"/>
      <c r="AW39" s="147"/>
      <c r="AX39" s="147"/>
      <c r="AY39" s="147"/>
      <c r="BB39" s="183"/>
      <c r="BC39" s="181"/>
      <c r="BD39" s="182"/>
      <c r="BE39" s="182"/>
      <c r="BF39" s="182"/>
      <c r="BG39" s="182"/>
      <c r="BH39" s="182"/>
      <c r="BI39" s="182"/>
      <c r="BJ39" s="182"/>
      <c r="BK39" s="182"/>
      <c r="BL39" s="182"/>
      <c r="BM39" s="182"/>
      <c r="BN39" s="150"/>
      <c r="BO39" s="150"/>
      <c r="BP39" s="150"/>
      <c r="BQ39" s="150"/>
    </row>
    <row r="40" spans="1:69" s="148" customFormat="1" ht="20.100000000000001" customHeight="1" x14ac:dyDescent="0.35">
      <c r="A40" s="160"/>
      <c r="B40" s="160"/>
      <c r="C40" s="160"/>
      <c r="D40" s="234"/>
      <c r="E40" s="160"/>
      <c r="F40" s="165"/>
      <c r="G40" s="175"/>
      <c r="H40" s="166"/>
      <c r="I40" s="175"/>
      <c r="J40" s="166"/>
      <c r="K40" s="175"/>
      <c r="L40" s="166"/>
      <c r="M40" s="175"/>
      <c r="N40" s="166"/>
      <c r="O40" s="175"/>
      <c r="P40" s="166"/>
      <c r="Q40" s="175"/>
      <c r="R40" s="166"/>
      <c r="S40" s="225"/>
      <c r="T40" s="165"/>
      <c r="U40" s="175"/>
      <c r="V40" s="166"/>
      <c r="W40" s="243"/>
      <c r="X40" s="166"/>
      <c r="Y40" s="175"/>
      <c r="Z40" s="166"/>
      <c r="AA40" s="175"/>
      <c r="AB40" s="279"/>
      <c r="AC40" s="151">
        <v>16</v>
      </c>
      <c r="AD40" s="271"/>
      <c r="AE40" s="166"/>
      <c r="AF40" s="175"/>
      <c r="AG40" s="164"/>
      <c r="AH40" s="175"/>
      <c r="AI40" s="162"/>
      <c r="AJ40" s="216"/>
      <c r="AK40" s="166"/>
      <c r="AL40" s="219"/>
      <c r="AM40" s="164"/>
      <c r="AN40" s="216"/>
      <c r="AO40" s="164"/>
      <c r="AP40" s="175"/>
      <c r="AQ40" s="166"/>
      <c r="AR40" s="175"/>
      <c r="AS40" s="164"/>
      <c r="AT40" s="175"/>
      <c r="AU40" s="166"/>
      <c r="AV40" s="175"/>
      <c r="AW40" s="147"/>
      <c r="AX40" s="147"/>
      <c r="AY40" s="147"/>
      <c r="BB40" s="183"/>
      <c r="BC40" s="181"/>
      <c r="BD40" s="182"/>
      <c r="BE40" s="182"/>
      <c r="BF40" s="182"/>
      <c r="BG40" s="182"/>
      <c r="BH40" s="182"/>
      <c r="BI40" s="182"/>
      <c r="BJ40" s="182"/>
      <c r="BK40" s="182"/>
      <c r="BL40" s="182"/>
      <c r="BM40" s="182"/>
      <c r="BN40" s="150"/>
      <c r="BO40" s="150"/>
      <c r="BP40" s="150"/>
      <c r="BQ40" s="150"/>
    </row>
    <row r="41" spans="1:69" s="148" customFormat="1" ht="20.100000000000001" customHeight="1" x14ac:dyDescent="0.35">
      <c r="A41" s="207"/>
      <c r="B41" s="160"/>
      <c r="C41" s="207"/>
      <c r="D41" s="223"/>
      <c r="E41" s="222"/>
      <c r="F41" s="168"/>
      <c r="G41" s="212"/>
      <c r="H41" s="167"/>
      <c r="I41" s="212"/>
      <c r="J41" s="167"/>
      <c r="K41" s="212"/>
      <c r="L41" s="167"/>
      <c r="M41" s="212"/>
      <c r="N41" s="167"/>
      <c r="O41" s="212"/>
      <c r="P41" s="167"/>
      <c r="Q41" s="212"/>
      <c r="R41" s="167"/>
      <c r="S41" s="226"/>
      <c r="T41" s="168"/>
      <c r="U41" s="212"/>
      <c r="V41" s="167"/>
      <c r="W41" s="244"/>
      <c r="X41" s="167"/>
      <c r="Y41" s="212"/>
      <c r="Z41" s="167"/>
      <c r="AA41" s="212"/>
      <c r="AB41" s="279"/>
      <c r="AC41" s="151">
        <v>20</v>
      </c>
      <c r="AD41" s="271"/>
      <c r="AE41" s="167"/>
      <c r="AF41" s="212"/>
      <c r="AG41" s="167"/>
      <c r="AH41" s="212"/>
      <c r="AI41" s="166"/>
      <c r="AJ41" s="212"/>
      <c r="AK41" s="166"/>
      <c r="AL41" s="212"/>
      <c r="AM41" s="167"/>
      <c r="AN41" s="212"/>
      <c r="AO41" s="167"/>
      <c r="AP41" s="221"/>
      <c r="AQ41" s="167"/>
      <c r="AR41" s="212"/>
      <c r="AS41" s="167"/>
      <c r="AT41" s="212"/>
      <c r="AU41" s="167"/>
      <c r="AV41" s="212"/>
      <c r="AW41" s="147"/>
      <c r="AX41" s="147"/>
      <c r="AY41" s="147"/>
      <c r="BB41" s="183"/>
      <c r="BC41" s="181"/>
      <c r="BD41" s="182"/>
      <c r="BE41" s="182"/>
      <c r="BF41" s="182"/>
      <c r="BG41" s="182"/>
      <c r="BH41" s="182"/>
      <c r="BI41" s="182"/>
      <c r="BJ41" s="182"/>
      <c r="BK41" s="182"/>
      <c r="BL41" s="182"/>
      <c r="BM41" s="182"/>
      <c r="BN41" s="150"/>
      <c r="BO41" s="150"/>
      <c r="BP41" s="150"/>
      <c r="BQ41" s="150"/>
    </row>
    <row r="42" spans="1:69" s="148" customFormat="1" ht="20.100000000000001" customHeight="1" thickBot="1" x14ac:dyDescent="0.35">
      <c r="A42" s="170"/>
      <c r="B42" s="170"/>
      <c r="C42" s="231"/>
      <c r="D42" s="235"/>
      <c r="E42" s="228"/>
      <c r="F42" s="208"/>
      <c r="G42" s="213"/>
      <c r="H42" s="171"/>
      <c r="I42" s="213"/>
      <c r="J42" s="171"/>
      <c r="K42" s="213"/>
      <c r="L42" s="171"/>
      <c r="M42" s="213"/>
      <c r="N42" s="171"/>
      <c r="O42" s="213"/>
      <c r="P42" s="171"/>
      <c r="Q42" s="213"/>
      <c r="R42" s="171"/>
      <c r="S42" s="227"/>
      <c r="T42" s="208"/>
      <c r="U42" s="213"/>
      <c r="V42" s="171"/>
      <c r="W42" s="245"/>
      <c r="X42" s="171"/>
      <c r="Y42" s="213"/>
      <c r="Z42" s="171"/>
      <c r="AA42" s="213"/>
      <c r="AB42" s="280"/>
      <c r="AC42" s="157">
        <v>24</v>
      </c>
      <c r="AD42" s="277"/>
      <c r="AE42" s="171"/>
      <c r="AF42" s="213"/>
      <c r="AG42" s="215"/>
      <c r="AH42" s="213"/>
      <c r="AI42" s="179"/>
      <c r="AJ42" s="217"/>
      <c r="AK42" s="179"/>
      <c r="AL42" s="217"/>
      <c r="AM42" s="220"/>
      <c r="AN42" s="217"/>
      <c r="AO42" s="179"/>
      <c r="AP42" s="217"/>
      <c r="AQ42" s="169"/>
      <c r="AR42" s="217"/>
      <c r="AS42" s="169"/>
      <c r="AT42" s="217"/>
      <c r="AU42" s="171"/>
      <c r="AV42" s="213"/>
      <c r="AW42" s="147"/>
      <c r="AX42" s="147"/>
      <c r="AY42" s="147"/>
      <c r="BB42" s="180"/>
      <c r="BC42" s="181"/>
      <c r="BD42" s="182"/>
      <c r="BE42" s="182"/>
      <c r="BF42" s="182"/>
      <c r="BG42" s="182"/>
      <c r="BH42" s="182"/>
      <c r="BI42" s="182"/>
      <c r="BJ42" s="182"/>
      <c r="BK42" s="182"/>
      <c r="BL42" s="182"/>
      <c r="BM42" s="182"/>
      <c r="BN42" s="150"/>
      <c r="BO42" s="150"/>
      <c r="BP42" s="150"/>
      <c r="BQ42" s="150"/>
    </row>
    <row r="43" spans="1:69" s="148" customFormat="1" ht="20.100000000000001" customHeight="1" x14ac:dyDescent="0.3">
      <c r="A43" s="160"/>
      <c r="B43" s="160"/>
      <c r="C43" s="160"/>
      <c r="D43" s="223"/>
      <c r="E43" s="160"/>
      <c r="F43" s="160"/>
      <c r="G43" s="174"/>
      <c r="H43" s="159"/>
      <c r="I43" s="174"/>
      <c r="J43" s="159"/>
      <c r="K43" s="174"/>
      <c r="L43" s="159"/>
      <c r="M43" s="174"/>
      <c r="N43" s="159"/>
      <c r="O43" s="174"/>
      <c r="P43" s="159"/>
      <c r="Q43" s="174"/>
      <c r="R43" s="159"/>
      <c r="S43" s="223"/>
      <c r="T43" s="160"/>
      <c r="U43" s="174"/>
      <c r="V43" s="159"/>
      <c r="W43" s="241"/>
      <c r="X43" s="159"/>
      <c r="Y43" s="174"/>
      <c r="Z43" s="159"/>
      <c r="AA43" s="174"/>
      <c r="AB43" s="273" t="s">
        <v>17</v>
      </c>
      <c r="AC43" s="145">
        <v>4</v>
      </c>
      <c r="AD43" s="270">
        <v>20</v>
      </c>
      <c r="AE43" s="159"/>
      <c r="AF43" s="174"/>
      <c r="AG43" s="159"/>
      <c r="AH43" s="214"/>
      <c r="AI43" s="159"/>
      <c r="AJ43" s="174"/>
      <c r="AK43" s="162"/>
      <c r="AL43" s="174"/>
      <c r="AM43" s="159"/>
      <c r="AN43" s="174"/>
      <c r="AO43" s="159"/>
      <c r="AP43" s="174"/>
      <c r="AQ43" s="159"/>
      <c r="AR43" s="174"/>
      <c r="AS43" s="159"/>
      <c r="AT43" s="174"/>
      <c r="AU43" s="159"/>
      <c r="AV43" s="174"/>
      <c r="AW43" s="147"/>
      <c r="AX43" s="147"/>
      <c r="AY43" s="147"/>
      <c r="BB43" s="183"/>
      <c r="BC43" s="181"/>
      <c r="BD43" s="182"/>
      <c r="BE43" s="182"/>
      <c r="BF43" s="182"/>
      <c r="BG43" s="182"/>
      <c r="BH43" s="182"/>
      <c r="BI43" s="182"/>
      <c r="BJ43" s="182"/>
      <c r="BK43" s="182"/>
      <c r="BL43" s="182"/>
      <c r="BM43" s="182"/>
      <c r="BN43" s="150"/>
      <c r="BO43" s="150"/>
      <c r="BP43" s="150"/>
      <c r="BQ43" s="150"/>
    </row>
    <row r="44" spans="1:69" s="148" customFormat="1" ht="20.100000000000001" customHeight="1" x14ac:dyDescent="0.35">
      <c r="A44" s="229"/>
      <c r="B44" s="160"/>
      <c r="C44" s="229"/>
      <c r="D44" s="232"/>
      <c r="E44" s="160"/>
      <c r="F44" s="206"/>
      <c r="G44" s="211"/>
      <c r="H44" s="210"/>
      <c r="I44" s="211"/>
      <c r="J44" s="210"/>
      <c r="K44" s="211"/>
      <c r="L44" s="210"/>
      <c r="M44" s="211"/>
      <c r="N44" s="210"/>
      <c r="O44" s="211"/>
      <c r="P44" s="210"/>
      <c r="Q44" s="211"/>
      <c r="R44" s="210"/>
      <c r="S44" s="224"/>
      <c r="T44" s="206"/>
      <c r="U44" s="211"/>
      <c r="V44" s="210"/>
      <c r="W44" s="242"/>
      <c r="X44" s="210"/>
      <c r="Y44" s="211"/>
      <c r="Z44" s="210"/>
      <c r="AA44" s="211"/>
      <c r="AB44" s="274"/>
      <c r="AC44" s="151">
        <v>8</v>
      </c>
      <c r="AD44" s="271"/>
      <c r="AE44" s="210"/>
      <c r="AF44" s="211"/>
      <c r="AG44" s="162"/>
      <c r="AH44" s="174"/>
      <c r="AI44" s="159"/>
      <c r="AJ44" s="174"/>
      <c r="AK44" s="218"/>
      <c r="AL44" s="174"/>
      <c r="AM44" s="162"/>
      <c r="AN44" s="174"/>
      <c r="AO44" s="159"/>
      <c r="AP44" s="174"/>
      <c r="AQ44" s="162"/>
      <c r="AR44" s="174"/>
      <c r="AS44" s="159"/>
      <c r="AT44" s="174"/>
      <c r="AU44" s="161"/>
      <c r="AV44" s="174"/>
      <c r="AW44" s="147"/>
      <c r="AX44" s="147"/>
      <c r="AY44" s="147"/>
      <c r="BB44" s="185"/>
      <c r="BC44" s="185"/>
      <c r="BD44" s="185"/>
      <c r="BE44" s="185"/>
      <c r="BF44" s="185"/>
      <c r="BG44" s="185"/>
      <c r="BH44" s="185"/>
      <c r="BI44" s="185"/>
      <c r="BJ44" s="185"/>
      <c r="BK44" s="185"/>
      <c r="BL44" s="185"/>
      <c r="BM44" s="185"/>
    </row>
    <row r="45" spans="1:69" s="148" customFormat="1" ht="20.100000000000001" customHeight="1" x14ac:dyDescent="0.35">
      <c r="A45" s="229"/>
      <c r="B45" s="160"/>
      <c r="C45" s="230"/>
      <c r="D45" s="233"/>
      <c r="E45" s="222"/>
      <c r="F45" s="172"/>
      <c r="G45" s="174"/>
      <c r="H45" s="162"/>
      <c r="I45" s="174"/>
      <c r="J45" s="162"/>
      <c r="K45" s="174"/>
      <c r="L45" s="162"/>
      <c r="M45" s="174"/>
      <c r="N45" s="162"/>
      <c r="O45" s="174"/>
      <c r="P45" s="162"/>
      <c r="Q45" s="174"/>
      <c r="R45" s="162"/>
      <c r="S45" s="223"/>
      <c r="T45" s="172"/>
      <c r="U45" s="174"/>
      <c r="V45" s="162"/>
      <c r="W45" s="241"/>
      <c r="X45" s="162"/>
      <c r="Y45" s="174"/>
      <c r="Z45" s="162"/>
      <c r="AA45" s="174"/>
      <c r="AB45" s="274"/>
      <c r="AC45" s="151">
        <v>12</v>
      </c>
      <c r="AD45" s="271"/>
      <c r="AE45" s="162"/>
      <c r="AF45" s="174"/>
      <c r="AG45" s="159"/>
      <c r="AH45" s="174"/>
      <c r="AI45" s="159"/>
      <c r="AJ45" s="174"/>
      <c r="AK45" s="218"/>
      <c r="AL45" s="174"/>
      <c r="AM45" s="162"/>
      <c r="AN45" s="174"/>
      <c r="AO45" s="159"/>
      <c r="AP45" s="174"/>
      <c r="AQ45" s="162"/>
      <c r="AR45" s="174"/>
      <c r="AS45" s="159"/>
      <c r="AT45" s="174"/>
      <c r="AU45" s="162"/>
      <c r="AV45" s="174"/>
      <c r="AW45" s="147"/>
      <c r="AX45" s="147"/>
      <c r="AY45" s="147"/>
      <c r="BB45" s="185"/>
      <c r="BC45" s="185"/>
      <c r="BD45" s="185"/>
      <c r="BE45" s="185"/>
      <c r="BF45" s="185"/>
      <c r="BG45" s="185"/>
      <c r="BH45" s="185"/>
      <c r="BI45" s="185"/>
      <c r="BJ45" s="185"/>
      <c r="BK45" s="185"/>
      <c r="BL45" s="185"/>
      <c r="BM45" s="185"/>
    </row>
    <row r="46" spans="1:69" s="148" customFormat="1" ht="20.100000000000001" customHeight="1" x14ac:dyDescent="0.35">
      <c r="A46" s="160"/>
      <c r="B46" s="160"/>
      <c r="C46" s="160"/>
      <c r="D46" s="234"/>
      <c r="E46" s="160"/>
      <c r="F46" s="165"/>
      <c r="G46" s="175"/>
      <c r="H46" s="166"/>
      <c r="I46" s="175"/>
      <c r="J46" s="166"/>
      <c r="K46" s="175"/>
      <c r="L46" s="166"/>
      <c r="M46" s="175"/>
      <c r="N46" s="166"/>
      <c r="O46" s="175"/>
      <c r="P46" s="166"/>
      <c r="Q46" s="175"/>
      <c r="R46" s="166"/>
      <c r="S46" s="225"/>
      <c r="T46" s="165"/>
      <c r="U46" s="175"/>
      <c r="V46" s="166"/>
      <c r="W46" s="243"/>
      <c r="X46" s="166"/>
      <c r="Y46" s="175"/>
      <c r="Z46" s="166"/>
      <c r="AA46" s="175"/>
      <c r="AB46" s="274"/>
      <c r="AC46" s="151">
        <v>16</v>
      </c>
      <c r="AD46" s="271"/>
      <c r="AE46" s="166"/>
      <c r="AF46" s="175"/>
      <c r="AG46" s="164"/>
      <c r="AH46" s="175"/>
      <c r="AI46" s="162"/>
      <c r="AJ46" s="216"/>
      <c r="AK46" s="166"/>
      <c r="AL46" s="219"/>
      <c r="AM46" s="164"/>
      <c r="AN46" s="216"/>
      <c r="AO46" s="164"/>
      <c r="AP46" s="175"/>
      <c r="AQ46" s="166"/>
      <c r="AR46" s="175"/>
      <c r="AS46" s="164"/>
      <c r="AT46" s="175"/>
      <c r="AU46" s="166"/>
      <c r="AV46" s="175"/>
      <c r="AW46" s="147"/>
      <c r="AX46" s="147"/>
      <c r="AY46" s="147"/>
    </row>
    <row r="47" spans="1:69" s="148" customFormat="1" ht="20.100000000000001" customHeight="1" x14ac:dyDescent="0.35">
      <c r="A47" s="207"/>
      <c r="B47" s="160"/>
      <c r="C47" s="207"/>
      <c r="D47" s="223"/>
      <c r="E47" s="222"/>
      <c r="F47" s="168"/>
      <c r="G47" s="212"/>
      <c r="H47" s="167"/>
      <c r="I47" s="212"/>
      <c r="J47" s="167"/>
      <c r="K47" s="212"/>
      <c r="L47" s="167"/>
      <c r="M47" s="212"/>
      <c r="N47" s="167"/>
      <c r="O47" s="212"/>
      <c r="P47" s="167"/>
      <c r="Q47" s="212"/>
      <c r="R47" s="167"/>
      <c r="S47" s="226"/>
      <c r="T47" s="168"/>
      <c r="U47" s="212"/>
      <c r="V47" s="167"/>
      <c r="W47" s="244"/>
      <c r="X47" s="167"/>
      <c r="Y47" s="212"/>
      <c r="Z47" s="167"/>
      <c r="AA47" s="212"/>
      <c r="AB47" s="274"/>
      <c r="AC47" s="151">
        <v>20</v>
      </c>
      <c r="AD47" s="271"/>
      <c r="AE47" s="167"/>
      <c r="AF47" s="212"/>
      <c r="AG47" s="167"/>
      <c r="AH47" s="212"/>
      <c r="AI47" s="166"/>
      <c r="AJ47" s="212"/>
      <c r="AK47" s="166"/>
      <c r="AL47" s="212"/>
      <c r="AM47" s="167"/>
      <c r="AN47" s="212"/>
      <c r="AO47" s="167"/>
      <c r="AP47" s="221"/>
      <c r="AQ47" s="167"/>
      <c r="AR47" s="212"/>
      <c r="AS47" s="167"/>
      <c r="AT47" s="212"/>
      <c r="AU47" s="167"/>
      <c r="AV47" s="212"/>
      <c r="AW47" s="146"/>
      <c r="AX47" s="147"/>
      <c r="AY47" s="147"/>
    </row>
    <row r="48" spans="1:69" s="148" customFormat="1" ht="20.100000000000001" customHeight="1" thickBot="1" x14ac:dyDescent="0.35">
      <c r="A48" s="170"/>
      <c r="B48" s="170"/>
      <c r="C48" s="231"/>
      <c r="D48" s="235"/>
      <c r="E48" s="228"/>
      <c r="F48" s="208"/>
      <c r="G48" s="213"/>
      <c r="H48" s="171"/>
      <c r="I48" s="213"/>
      <c r="J48" s="171"/>
      <c r="K48" s="213"/>
      <c r="L48" s="171"/>
      <c r="M48" s="213"/>
      <c r="N48" s="171"/>
      <c r="O48" s="213"/>
      <c r="P48" s="171"/>
      <c r="Q48" s="213"/>
      <c r="R48" s="171"/>
      <c r="S48" s="227"/>
      <c r="T48" s="208"/>
      <c r="U48" s="213"/>
      <c r="V48" s="171"/>
      <c r="W48" s="245"/>
      <c r="X48" s="171"/>
      <c r="Y48" s="213"/>
      <c r="Z48" s="171"/>
      <c r="AA48" s="213"/>
      <c r="AB48" s="275"/>
      <c r="AC48" s="157">
        <v>24</v>
      </c>
      <c r="AD48" s="277"/>
      <c r="AE48" s="171"/>
      <c r="AF48" s="213"/>
      <c r="AG48" s="215"/>
      <c r="AH48" s="213"/>
      <c r="AI48" s="179"/>
      <c r="AJ48" s="217"/>
      <c r="AK48" s="179"/>
      <c r="AL48" s="217"/>
      <c r="AM48" s="220"/>
      <c r="AN48" s="217"/>
      <c r="AO48" s="179"/>
      <c r="AP48" s="217"/>
      <c r="AQ48" s="169"/>
      <c r="AR48" s="217"/>
      <c r="AS48" s="169"/>
      <c r="AT48" s="217"/>
      <c r="AU48" s="171"/>
      <c r="AV48" s="213"/>
      <c r="AW48" s="147"/>
      <c r="AX48" s="147"/>
      <c r="AY48" s="147"/>
    </row>
    <row r="49" spans="1:52" s="144" customFormat="1" ht="20.100000000000001" customHeight="1" x14ac:dyDescent="0.2">
      <c r="A49" s="137"/>
      <c r="B49" s="154">
        <v>591</v>
      </c>
      <c r="C49" s="154">
        <v>569</v>
      </c>
      <c r="D49" s="154">
        <v>543</v>
      </c>
      <c r="E49" s="186">
        <v>520</v>
      </c>
      <c r="F49" s="186">
        <v>496</v>
      </c>
      <c r="G49" s="186">
        <v>472</v>
      </c>
      <c r="H49" s="186">
        <v>448</v>
      </c>
      <c r="I49" s="186">
        <v>423</v>
      </c>
      <c r="J49" s="186">
        <v>400</v>
      </c>
      <c r="K49" s="186">
        <v>375</v>
      </c>
      <c r="L49" s="186">
        <v>350</v>
      </c>
      <c r="M49" s="186">
        <v>327</v>
      </c>
      <c r="N49" s="186">
        <v>303</v>
      </c>
      <c r="O49" s="186">
        <v>280</v>
      </c>
      <c r="P49" s="186">
        <v>250</v>
      </c>
      <c r="Q49" s="186">
        <v>224</v>
      </c>
      <c r="R49" s="186">
        <v>213</v>
      </c>
      <c r="S49" s="186">
        <v>190</v>
      </c>
      <c r="T49" s="186">
        <v>169</v>
      </c>
      <c r="U49" s="186">
        <v>146</v>
      </c>
      <c r="V49" s="186">
        <v>126</v>
      </c>
      <c r="W49" s="246">
        <v>104</v>
      </c>
      <c r="X49" s="186">
        <v>84</v>
      </c>
      <c r="Y49" s="186">
        <v>62</v>
      </c>
      <c r="Z49" s="186">
        <v>40</v>
      </c>
      <c r="AA49" s="186">
        <v>18</v>
      </c>
      <c r="AB49" s="186">
        <v>0</v>
      </c>
      <c r="AC49" s="187"/>
      <c r="AD49" s="188"/>
      <c r="AE49" s="186">
        <v>392</v>
      </c>
      <c r="AF49" s="186">
        <v>370</v>
      </c>
      <c r="AG49" s="186">
        <v>330</v>
      </c>
      <c r="AH49" s="186">
        <v>305</v>
      </c>
      <c r="AI49" s="186">
        <v>285</v>
      </c>
      <c r="AJ49" s="186">
        <v>265</v>
      </c>
      <c r="AK49" s="186">
        <v>240</v>
      </c>
      <c r="AL49" s="186">
        <v>220</v>
      </c>
      <c r="AM49" s="186">
        <v>198</v>
      </c>
      <c r="AN49" s="186">
        <v>175</v>
      </c>
      <c r="AO49" s="186">
        <v>152</v>
      </c>
      <c r="AP49" s="186">
        <v>150</v>
      </c>
      <c r="AQ49" s="186">
        <v>135</v>
      </c>
      <c r="AR49" s="186">
        <v>110</v>
      </c>
      <c r="AS49" s="186">
        <v>90</v>
      </c>
      <c r="AT49" s="186">
        <v>66</v>
      </c>
      <c r="AU49" s="186">
        <v>45</v>
      </c>
      <c r="AV49" s="186">
        <v>23</v>
      </c>
      <c r="AW49" s="133"/>
      <c r="AX49" s="143"/>
      <c r="AY49" s="143"/>
    </row>
    <row r="50" spans="1:52" s="135" customFormat="1" ht="20.100000000000001" customHeight="1" x14ac:dyDescent="0.2">
      <c r="A50" s="126" t="s">
        <v>18</v>
      </c>
      <c r="B50" s="126"/>
      <c r="C50" s="126"/>
      <c r="D50" s="126">
        <v>360</v>
      </c>
      <c r="E50" s="127"/>
      <c r="F50" s="127">
        <v>310</v>
      </c>
      <c r="G50" s="127"/>
      <c r="H50" s="127">
        <f>F50-50</f>
        <v>260</v>
      </c>
      <c r="I50" s="127"/>
      <c r="J50" s="127">
        <v>210</v>
      </c>
      <c r="K50" s="127"/>
      <c r="L50" s="127">
        <v>160</v>
      </c>
      <c r="M50" s="127"/>
      <c r="N50" s="127">
        <v>110</v>
      </c>
      <c r="O50" s="127"/>
      <c r="P50" s="127">
        <v>60</v>
      </c>
      <c r="Q50" s="127"/>
      <c r="R50" s="127">
        <v>50</v>
      </c>
      <c r="S50" s="127">
        <v>0</v>
      </c>
      <c r="T50" s="129">
        <v>190</v>
      </c>
      <c r="U50" s="129">
        <v>150</v>
      </c>
      <c r="V50" s="129"/>
      <c r="W50" s="239">
        <v>100</v>
      </c>
      <c r="X50" s="129"/>
      <c r="Y50" s="129">
        <v>50</v>
      </c>
      <c r="Z50" s="129"/>
      <c r="AA50" s="129">
        <v>0</v>
      </c>
      <c r="AB50" s="130" t="s">
        <v>0</v>
      </c>
      <c r="AC50" s="131" t="s">
        <v>1</v>
      </c>
      <c r="AD50" s="131" t="s">
        <v>2</v>
      </c>
      <c r="AE50" s="132">
        <v>400</v>
      </c>
      <c r="AF50" s="129"/>
      <c r="AG50" s="132">
        <v>350</v>
      </c>
      <c r="AH50" s="132"/>
      <c r="AI50" s="132">
        <v>300</v>
      </c>
      <c r="AJ50" s="132"/>
      <c r="AK50" s="132">
        <v>250</v>
      </c>
      <c r="AL50" s="132"/>
      <c r="AM50" s="132">
        <v>200</v>
      </c>
      <c r="AN50" s="132"/>
      <c r="AO50" s="132">
        <v>175</v>
      </c>
      <c r="AP50" s="132"/>
      <c r="AQ50" s="132">
        <v>150</v>
      </c>
      <c r="AR50" s="132"/>
      <c r="AS50" s="132">
        <v>100</v>
      </c>
      <c r="AT50" s="129"/>
      <c r="AU50" s="131">
        <v>50</v>
      </c>
      <c r="AV50" s="129">
        <v>0</v>
      </c>
      <c r="AW50" s="133"/>
      <c r="AX50" s="134"/>
      <c r="AY50" s="134"/>
    </row>
    <row r="51" spans="1:52" s="193" customFormat="1" ht="29.25" customHeight="1" x14ac:dyDescent="0.3">
      <c r="A51" s="189" t="s">
        <v>33</v>
      </c>
      <c r="B51" s="281" t="str">
        <f>C1 &amp; "/" &amp; E1</f>
        <v>33/2017</v>
      </c>
      <c r="C51" s="282"/>
      <c r="D51" s="282"/>
      <c r="E51" s="190"/>
      <c r="F51" s="190"/>
      <c r="G51" s="190"/>
      <c r="H51" s="191"/>
      <c r="I51" s="192"/>
      <c r="J51" s="192"/>
      <c r="K51" s="192"/>
      <c r="L51" s="283" t="s">
        <v>40</v>
      </c>
      <c r="M51" s="284"/>
      <c r="N51" s="284"/>
      <c r="O51" s="285"/>
      <c r="P51" s="192"/>
      <c r="Q51" s="286">
        <v>42958.717141203706</v>
      </c>
      <c r="R51" s="287"/>
      <c r="S51" s="287"/>
      <c r="T51" s="287"/>
      <c r="U51" s="287"/>
      <c r="V51" s="190"/>
      <c r="W51" s="247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92"/>
      <c r="AM51" s="192"/>
      <c r="AN51" s="192"/>
      <c r="AO51" s="154"/>
      <c r="AP51" s="154"/>
      <c r="AQ51" s="154"/>
      <c r="AR51" s="154"/>
    </row>
    <row r="52" spans="1:52" ht="15.75" x14ac:dyDescent="0.25">
      <c r="A52" s="248" t="s">
        <v>10</v>
      </c>
      <c r="B52" s="290" t="s">
        <v>49</v>
      </c>
      <c r="C52" s="290"/>
      <c r="D52" s="290"/>
      <c r="E52" s="290"/>
      <c r="F52" s="290"/>
      <c r="G52" s="290" t="s">
        <v>9</v>
      </c>
      <c r="H52" s="290"/>
      <c r="I52" s="290" t="s">
        <v>4</v>
      </c>
      <c r="J52" s="290"/>
      <c r="K52" s="290" t="s">
        <v>50</v>
      </c>
      <c r="L52" s="290"/>
      <c r="M52" s="290"/>
      <c r="N52" s="290"/>
      <c r="O52" s="289" t="s">
        <v>51</v>
      </c>
      <c r="P52" s="289"/>
      <c r="Q52" s="289" t="s">
        <v>52</v>
      </c>
      <c r="R52" s="289"/>
      <c r="S52" s="289" t="s">
        <v>53</v>
      </c>
      <c r="T52" s="289"/>
      <c r="U52" s="289" t="s">
        <v>113</v>
      </c>
      <c r="V52" s="289"/>
      <c r="W52" s="249" t="s">
        <v>25</v>
      </c>
      <c r="X52" s="289" t="s">
        <v>6</v>
      </c>
      <c r="Y52" s="289"/>
      <c r="Z52" s="289" t="s">
        <v>7</v>
      </c>
      <c r="AA52" s="289"/>
      <c r="AB52" s="289" t="s">
        <v>8</v>
      </c>
      <c r="AC52" s="289"/>
      <c r="AD52" s="289" t="s">
        <v>54</v>
      </c>
      <c r="AE52" s="289"/>
      <c r="AF52" s="289"/>
      <c r="AG52" s="289" t="s">
        <v>55</v>
      </c>
      <c r="AH52" s="289"/>
      <c r="AI52" s="289"/>
      <c r="AJ52" s="289"/>
      <c r="AK52" s="289" t="s">
        <v>56</v>
      </c>
      <c r="AL52" s="289"/>
      <c r="AM52" s="289"/>
      <c r="AN52" s="250" t="s">
        <v>57</v>
      </c>
      <c r="AO52" s="250"/>
      <c r="AP52" s="250" t="s">
        <v>58</v>
      </c>
      <c r="AQ52" s="250"/>
      <c r="AR52" s="251"/>
      <c r="AS52" s="250" t="s">
        <v>71</v>
      </c>
      <c r="AT52" s="250"/>
      <c r="AU52" s="20"/>
    </row>
    <row r="53" spans="1:52" x14ac:dyDescent="0.2">
      <c r="A53" s="313" t="s">
        <v>99</v>
      </c>
      <c r="B53" s="314" t="s">
        <v>100</v>
      </c>
      <c r="C53" s="314"/>
      <c r="D53" s="314"/>
      <c r="E53" s="314"/>
      <c r="F53" s="314"/>
      <c r="G53" s="315" t="s">
        <v>101</v>
      </c>
      <c r="H53" s="315"/>
      <c r="I53" s="316" t="s">
        <v>102</v>
      </c>
      <c r="J53" s="316"/>
      <c r="K53" s="314" t="s">
        <v>118</v>
      </c>
      <c r="L53" s="314"/>
      <c r="M53" s="314" t="s">
        <v>119</v>
      </c>
      <c r="N53" s="314"/>
      <c r="O53" s="314" t="s">
        <v>124</v>
      </c>
      <c r="P53" s="314"/>
      <c r="Q53" s="313" t="s">
        <v>125</v>
      </c>
      <c r="R53" s="313"/>
      <c r="S53" s="313" t="s">
        <v>112</v>
      </c>
      <c r="T53" s="313"/>
      <c r="U53" s="314">
        <v>255</v>
      </c>
      <c r="V53" s="314"/>
      <c r="W53" s="317" t="s">
        <v>98</v>
      </c>
      <c r="X53" s="314">
        <v>2401</v>
      </c>
      <c r="Y53" s="314"/>
      <c r="Z53" s="314">
        <v>2350</v>
      </c>
      <c r="AA53" s="314"/>
      <c r="AB53" s="314">
        <v>4751</v>
      </c>
      <c r="AC53" s="314"/>
      <c r="AD53" s="314">
        <v>6793</v>
      </c>
      <c r="AE53" s="314"/>
      <c r="AF53" s="314"/>
      <c r="AG53" s="314">
        <v>4500</v>
      </c>
      <c r="AH53" s="314"/>
      <c r="AI53" s="314"/>
      <c r="AJ53" s="314"/>
      <c r="AK53" s="314" t="s">
        <v>48</v>
      </c>
      <c r="AL53" s="314"/>
      <c r="AM53" s="314"/>
      <c r="AN53" s="314">
        <v>0</v>
      </c>
      <c r="AO53" s="314"/>
      <c r="AP53" s="314" t="s">
        <v>61</v>
      </c>
      <c r="AQ53" s="314"/>
      <c r="AR53" s="314"/>
      <c r="AS53" s="314" t="s">
        <v>70</v>
      </c>
      <c r="AT53" s="314"/>
      <c r="AU53"/>
      <c r="AV53"/>
      <c r="AW53"/>
      <c r="AX53"/>
      <c r="AY53"/>
      <c r="AZ53"/>
    </row>
    <row r="54" spans="1:52" x14ac:dyDescent="0.2">
      <c r="A54" s="313" t="s">
        <v>146</v>
      </c>
      <c r="B54" s="314" t="s">
        <v>94</v>
      </c>
      <c r="C54" s="314"/>
      <c r="D54" s="314"/>
      <c r="E54" s="314"/>
      <c r="F54" s="314"/>
      <c r="G54" s="315" t="s">
        <v>95</v>
      </c>
      <c r="H54" s="315"/>
      <c r="I54" s="316" t="s">
        <v>147</v>
      </c>
      <c r="J54" s="316"/>
      <c r="K54" s="314" t="s">
        <v>123</v>
      </c>
      <c r="L54" s="314"/>
      <c r="M54" s="314" t="s">
        <v>124</v>
      </c>
      <c r="N54" s="314"/>
      <c r="O54" s="314" t="s">
        <v>117</v>
      </c>
      <c r="P54" s="314"/>
      <c r="Q54" s="313" t="s">
        <v>250</v>
      </c>
      <c r="R54" s="313"/>
      <c r="S54" s="313" t="s">
        <v>116</v>
      </c>
      <c r="T54" s="313"/>
      <c r="U54" s="314">
        <v>173</v>
      </c>
      <c r="V54" s="314"/>
      <c r="W54" s="317" t="s">
        <v>77</v>
      </c>
      <c r="X54" s="314">
        <v>0</v>
      </c>
      <c r="Y54" s="314"/>
      <c r="Z54" s="314">
        <v>400</v>
      </c>
      <c r="AA54" s="314"/>
      <c r="AB54" s="314">
        <v>400</v>
      </c>
      <c r="AC54" s="314"/>
      <c r="AD54" s="314">
        <v>572</v>
      </c>
      <c r="AE54" s="314"/>
      <c r="AF54" s="314"/>
      <c r="AG54" s="314">
        <v>400</v>
      </c>
      <c r="AH54" s="314"/>
      <c r="AI54" s="314"/>
      <c r="AJ54" s="314"/>
      <c r="AK54" s="314"/>
      <c r="AL54" s="314"/>
      <c r="AM54" s="314"/>
      <c r="AN54" s="314">
        <v>0</v>
      </c>
      <c r="AO54" s="314"/>
      <c r="AP54" s="314" t="s">
        <v>59</v>
      </c>
      <c r="AQ54" s="314"/>
      <c r="AR54" s="314"/>
      <c r="AS54" s="314" t="s">
        <v>64</v>
      </c>
      <c r="AT54" s="314"/>
      <c r="AU54"/>
      <c r="AV54"/>
      <c r="AW54"/>
      <c r="AX54"/>
      <c r="AY54"/>
      <c r="AZ54"/>
    </row>
    <row r="55" spans="1:52" x14ac:dyDescent="0.2">
      <c r="A55" s="313" t="s">
        <v>63</v>
      </c>
      <c r="B55" s="314" t="s">
        <v>149</v>
      </c>
      <c r="C55" s="314"/>
      <c r="D55" s="314"/>
      <c r="E55" s="314"/>
      <c r="F55" s="314"/>
      <c r="G55" s="315" t="s">
        <v>150</v>
      </c>
      <c r="H55" s="315"/>
      <c r="I55" s="316" t="s">
        <v>151</v>
      </c>
      <c r="J55" s="316"/>
      <c r="K55" s="314" t="s">
        <v>251</v>
      </c>
      <c r="L55" s="314"/>
      <c r="M55" s="314" t="s">
        <v>112</v>
      </c>
      <c r="N55" s="314"/>
      <c r="O55" s="314" t="s">
        <v>252</v>
      </c>
      <c r="P55" s="314"/>
      <c r="Q55" s="313" t="s">
        <v>253</v>
      </c>
      <c r="R55" s="313"/>
      <c r="S55" s="313" t="s">
        <v>254</v>
      </c>
      <c r="T55" s="313"/>
      <c r="U55" s="314">
        <v>213</v>
      </c>
      <c r="V55" s="314"/>
      <c r="W55" s="317" t="s">
        <v>81</v>
      </c>
      <c r="X55" s="314">
        <v>780</v>
      </c>
      <c r="Y55" s="314"/>
      <c r="Z55" s="314">
        <v>1300</v>
      </c>
      <c r="AA55" s="314"/>
      <c r="AB55" s="314">
        <v>2080</v>
      </c>
      <c r="AC55" s="314"/>
      <c r="AD55" s="314">
        <v>2974</v>
      </c>
      <c r="AE55" s="314"/>
      <c r="AF55" s="314"/>
      <c r="AG55" s="314">
        <v>3000</v>
      </c>
      <c r="AH55" s="314"/>
      <c r="AI55" s="314"/>
      <c r="AJ55" s="314"/>
      <c r="AK55" s="314" t="s">
        <v>48</v>
      </c>
      <c r="AL55" s="314"/>
      <c r="AM55" s="314"/>
      <c r="AN55" s="314">
        <v>0</v>
      </c>
      <c r="AO55" s="314"/>
      <c r="AP55" s="314" t="s">
        <v>59</v>
      </c>
      <c r="AQ55" s="314"/>
      <c r="AR55" s="314"/>
      <c r="AS55" s="314" t="s">
        <v>64</v>
      </c>
      <c r="AT55" s="314"/>
      <c r="AU55"/>
      <c r="AV55"/>
      <c r="AW55"/>
      <c r="AX55"/>
      <c r="AY55"/>
      <c r="AZ55"/>
    </row>
    <row r="56" spans="1:52" x14ac:dyDescent="0.2">
      <c r="A56" s="313" t="s">
        <v>142</v>
      </c>
      <c r="B56" s="314" t="s">
        <v>87</v>
      </c>
      <c r="C56" s="314"/>
      <c r="D56" s="314"/>
      <c r="E56" s="314"/>
      <c r="F56" s="314"/>
      <c r="G56" s="315" t="s">
        <v>88</v>
      </c>
      <c r="H56" s="315"/>
      <c r="I56" s="316" t="s">
        <v>143</v>
      </c>
      <c r="J56" s="316"/>
      <c r="K56" s="314" t="s">
        <v>255</v>
      </c>
      <c r="L56" s="314"/>
      <c r="M56" s="314" t="s">
        <v>256</v>
      </c>
      <c r="N56" s="314"/>
      <c r="O56" s="314" t="s">
        <v>112</v>
      </c>
      <c r="P56" s="314"/>
      <c r="Q56" s="313" t="s">
        <v>257</v>
      </c>
      <c r="R56" s="313"/>
      <c r="S56" s="313" t="s">
        <v>258</v>
      </c>
      <c r="T56" s="313"/>
      <c r="U56" s="314">
        <v>166</v>
      </c>
      <c r="V56" s="314"/>
      <c r="W56" s="317" t="s">
        <v>77</v>
      </c>
      <c r="X56" s="314">
        <v>0</v>
      </c>
      <c r="Y56" s="314"/>
      <c r="Z56" s="314">
        <v>400</v>
      </c>
      <c r="AA56" s="314"/>
      <c r="AB56" s="314">
        <v>400</v>
      </c>
      <c r="AC56" s="314"/>
      <c r="AD56" s="314">
        <v>572</v>
      </c>
      <c r="AE56" s="314"/>
      <c r="AF56" s="314"/>
      <c r="AG56" s="314">
        <v>400</v>
      </c>
      <c r="AH56" s="314"/>
      <c r="AI56" s="314"/>
      <c r="AJ56" s="314"/>
      <c r="AK56" s="314"/>
      <c r="AL56" s="314"/>
      <c r="AM56" s="314"/>
      <c r="AN56" s="314">
        <v>0</v>
      </c>
      <c r="AO56" s="314"/>
      <c r="AP56" s="314" t="s">
        <v>89</v>
      </c>
      <c r="AQ56" s="314"/>
      <c r="AR56" s="314"/>
      <c r="AS56" s="314" t="s">
        <v>79</v>
      </c>
      <c r="AT56" s="314"/>
      <c r="AU56"/>
      <c r="AV56"/>
      <c r="AW56"/>
      <c r="AX56"/>
      <c r="AY56"/>
      <c r="AZ56"/>
    </row>
    <row r="57" spans="1:52" x14ac:dyDescent="0.2">
      <c r="A57" s="313" t="s">
        <v>86</v>
      </c>
      <c r="B57" s="314" t="s">
        <v>153</v>
      </c>
      <c r="C57" s="314"/>
      <c r="D57" s="314"/>
      <c r="E57" s="314"/>
      <c r="F57" s="314"/>
      <c r="G57" s="315" t="s">
        <v>154</v>
      </c>
      <c r="H57" s="315"/>
      <c r="I57" s="316" t="s">
        <v>163</v>
      </c>
      <c r="J57" s="316"/>
      <c r="K57" s="314" t="s">
        <v>259</v>
      </c>
      <c r="L57" s="314"/>
      <c r="M57" s="314" t="s">
        <v>260</v>
      </c>
      <c r="N57" s="314"/>
      <c r="O57" s="314" t="s">
        <v>261</v>
      </c>
      <c r="P57" s="314"/>
      <c r="Q57" s="313" t="s">
        <v>262</v>
      </c>
      <c r="R57" s="313"/>
      <c r="S57" s="313" t="s">
        <v>260</v>
      </c>
      <c r="T57" s="313"/>
      <c r="U57" s="314">
        <v>168</v>
      </c>
      <c r="V57" s="314"/>
      <c r="W57" s="317" t="s">
        <v>77</v>
      </c>
      <c r="X57" s="314">
        <v>400</v>
      </c>
      <c r="Y57" s="314"/>
      <c r="Z57" s="314">
        <v>0</v>
      </c>
      <c r="AA57" s="314"/>
      <c r="AB57" s="314">
        <v>400</v>
      </c>
      <c r="AC57" s="314"/>
      <c r="AD57" s="314">
        <v>572</v>
      </c>
      <c r="AE57" s="314"/>
      <c r="AF57" s="314"/>
      <c r="AG57" s="314">
        <v>400</v>
      </c>
      <c r="AH57" s="314"/>
      <c r="AI57" s="314"/>
      <c r="AJ57" s="314"/>
      <c r="AK57" s="314"/>
      <c r="AL57" s="314"/>
      <c r="AM57" s="314"/>
      <c r="AN57" s="314">
        <v>0</v>
      </c>
      <c r="AO57" s="314"/>
      <c r="AP57" s="314" t="s">
        <v>78</v>
      </c>
      <c r="AQ57" s="314"/>
      <c r="AR57" s="314"/>
      <c r="AS57" s="314" t="s">
        <v>79</v>
      </c>
      <c r="AT57" s="314"/>
      <c r="AU57"/>
      <c r="AV57"/>
      <c r="AW57"/>
      <c r="AX57"/>
      <c r="AY57"/>
      <c r="AZ57"/>
    </row>
    <row r="58" spans="1:52" x14ac:dyDescent="0.2">
      <c r="A58" s="313" t="s">
        <v>83</v>
      </c>
      <c r="B58" s="314" t="s">
        <v>166</v>
      </c>
      <c r="C58" s="314"/>
      <c r="D58" s="314"/>
      <c r="E58" s="314"/>
      <c r="F58" s="314"/>
      <c r="G58" s="315" t="s">
        <v>167</v>
      </c>
      <c r="H58" s="315"/>
      <c r="I58" s="316" t="s">
        <v>168</v>
      </c>
      <c r="J58" s="316"/>
      <c r="K58" s="314" t="s">
        <v>263</v>
      </c>
      <c r="L58" s="314"/>
      <c r="M58" s="314" t="s">
        <v>264</v>
      </c>
      <c r="N58" s="314"/>
      <c r="O58" s="314" t="s">
        <v>257</v>
      </c>
      <c r="P58" s="314"/>
      <c r="Q58" s="313" t="s">
        <v>263</v>
      </c>
      <c r="R58" s="313"/>
      <c r="S58" s="313" t="s">
        <v>265</v>
      </c>
      <c r="T58" s="313"/>
      <c r="U58" s="314">
        <v>208</v>
      </c>
      <c r="V58" s="314"/>
      <c r="W58" s="317" t="s">
        <v>81</v>
      </c>
      <c r="X58" s="314">
        <v>1000</v>
      </c>
      <c r="Y58" s="314"/>
      <c r="Z58" s="314">
        <v>900</v>
      </c>
      <c r="AA58" s="314"/>
      <c r="AB58" s="314">
        <v>1900</v>
      </c>
      <c r="AC58" s="314"/>
      <c r="AD58" s="314">
        <v>2717</v>
      </c>
      <c r="AE58" s="314"/>
      <c r="AF58" s="314"/>
      <c r="AG58" s="314">
        <v>2600</v>
      </c>
      <c r="AH58" s="314"/>
      <c r="AI58" s="314"/>
      <c r="AJ58" s="314"/>
      <c r="AK58" s="314"/>
      <c r="AL58" s="314"/>
      <c r="AM58" s="314"/>
      <c r="AN58" s="314">
        <v>0</v>
      </c>
      <c r="AO58" s="314"/>
      <c r="AP58" s="314" t="s">
        <v>84</v>
      </c>
      <c r="AQ58" s="314"/>
      <c r="AR58" s="314"/>
      <c r="AS58" s="314" t="s">
        <v>70</v>
      </c>
      <c r="AT58" s="314"/>
      <c r="AU58"/>
      <c r="AV58"/>
      <c r="AW58"/>
      <c r="AX58"/>
      <c r="AY58"/>
      <c r="AZ58"/>
    </row>
    <row r="59" spans="1:52" x14ac:dyDescent="0.2">
      <c r="A59" s="313" t="s">
        <v>90</v>
      </c>
      <c r="B59" s="314" t="s">
        <v>157</v>
      </c>
      <c r="C59" s="314"/>
      <c r="D59" s="314"/>
      <c r="E59" s="314"/>
      <c r="F59" s="314"/>
      <c r="G59" s="315" t="s">
        <v>158</v>
      </c>
      <c r="H59" s="315"/>
      <c r="I59" s="316" t="s">
        <v>159</v>
      </c>
      <c r="J59" s="316"/>
      <c r="K59" s="314" t="s">
        <v>266</v>
      </c>
      <c r="L59" s="314"/>
      <c r="M59" s="314" t="s">
        <v>267</v>
      </c>
      <c r="N59" s="314"/>
      <c r="O59" s="314" t="s">
        <v>268</v>
      </c>
      <c r="P59" s="314"/>
      <c r="Q59" s="313" t="s">
        <v>269</v>
      </c>
      <c r="R59" s="313"/>
      <c r="S59" s="313" t="s">
        <v>270</v>
      </c>
      <c r="T59" s="313"/>
      <c r="U59" s="314">
        <v>173</v>
      </c>
      <c r="V59" s="314"/>
      <c r="W59" s="317" t="s">
        <v>77</v>
      </c>
      <c r="X59" s="314">
        <v>300</v>
      </c>
      <c r="Y59" s="314"/>
      <c r="Z59" s="314">
        <v>0</v>
      </c>
      <c r="AA59" s="314"/>
      <c r="AB59" s="314">
        <v>300</v>
      </c>
      <c r="AC59" s="314"/>
      <c r="AD59" s="314">
        <v>429</v>
      </c>
      <c r="AE59" s="314"/>
      <c r="AF59" s="314"/>
      <c r="AG59" s="314">
        <v>300</v>
      </c>
      <c r="AH59" s="314"/>
      <c r="AI59" s="314"/>
      <c r="AJ59" s="314"/>
      <c r="AK59" s="314"/>
      <c r="AL59" s="314"/>
      <c r="AM59" s="314"/>
      <c r="AN59" s="314">
        <v>0</v>
      </c>
      <c r="AO59" s="314"/>
      <c r="AP59" s="314" t="s">
        <v>160</v>
      </c>
      <c r="AQ59" s="314"/>
      <c r="AR59" s="314"/>
      <c r="AS59" s="314" t="s">
        <v>79</v>
      </c>
      <c r="AT59" s="314"/>
      <c r="AU59"/>
      <c r="AV59"/>
      <c r="AW59"/>
      <c r="AX59"/>
      <c r="AY59"/>
      <c r="AZ59"/>
    </row>
    <row r="60" spans="1:52" x14ac:dyDescent="0.2">
      <c r="A60" s="313" t="s">
        <v>201</v>
      </c>
      <c r="B60" s="314" t="s">
        <v>202</v>
      </c>
      <c r="C60" s="314"/>
      <c r="D60" s="314"/>
      <c r="E60" s="314"/>
      <c r="F60" s="314"/>
      <c r="G60" s="315" t="s">
        <v>203</v>
      </c>
      <c r="H60" s="315"/>
      <c r="I60" s="316" t="s">
        <v>204</v>
      </c>
      <c r="J60" s="316"/>
      <c r="K60" s="314" t="s">
        <v>250</v>
      </c>
      <c r="L60" s="314"/>
      <c r="M60" s="314" t="s">
        <v>271</v>
      </c>
      <c r="N60" s="314"/>
      <c r="O60" s="314" t="s">
        <v>272</v>
      </c>
      <c r="P60" s="314"/>
      <c r="Q60" s="313" t="s">
        <v>273</v>
      </c>
      <c r="R60" s="313"/>
      <c r="S60" s="313" t="s">
        <v>274</v>
      </c>
      <c r="T60" s="313"/>
      <c r="U60" s="314">
        <v>173</v>
      </c>
      <c r="V60" s="314"/>
      <c r="W60" s="317" t="s">
        <v>81</v>
      </c>
      <c r="X60" s="314">
        <v>450</v>
      </c>
      <c r="Y60" s="314"/>
      <c r="Z60" s="314">
        <v>350</v>
      </c>
      <c r="AA60" s="314"/>
      <c r="AB60" s="314">
        <v>800</v>
      </c>
      <c r="AC60" s="314"/>
      <c r="AD60" s="314">
        <v>1144</v>
      </c>
      <c r="AE60" s="314"/>
      <c r="AF60" s="314"/>
      <c r="AG60" s="314">
        <v>800</v>
      </c>
      <c r="AH60" s="314"/>
      <c r="AI60" s="314"/>
      <c r="AJ60" s="314"/>
      <c r="AK60" s="314"/>
      <c r="AL60" s="314"/>
      <c r="AM60" s="314"/>
      <c r="AN60" s="314">
        <v>0</v>
      </c>
      <c r="AO60" s="314"/>
      <c r="AP60" s="314" t="s">
        <v>160</v>
      </c>
      <c r="AQ60" s="314"/>
      <c r="AR60" s="314"/>
      <c r="AS60" s="314" t="s">
        <v>79</v>
      </c>
      <c r="AT60" s="314"/>
      <c r="AU60"/>
      <c r="AV60"/>
      <c r="AW60"/>
      <c r="AX60"/>
      <c r="AY60"/>
      <c r="AZ60"/>
    </row>
    <row r="61" spans="1:52" x14ac:dyDescent="0.2">
      <c r="A61" s="313" t="s">
        <v>92</v>
      </c>
      <c r="B61" s="314" t="s">
        <v>190</v>
      </c>
      <c r="C61" s="314"/>
      <c r="D61" s="314"/>
      <c r="E61" s="314"/>
      <c r="F61" s="314"/>
      <c r="G61" s="315" t="s">
        <v>191</v>
      </c>
      <c r="H61" s="315"/>
      <c r="I61" s="316" t="s">
        <v>192</v>
      </c>
      <c r="J61" s="316"/>
      <c r="K61" s="314" t="s">
        <v>275</v>
      </c>
      <c r="L61" s="314"/>
      <c r="M61" s="314" t="s">
        <v>276</v>
      </c>
      <c r="N61" s="314"/>
      <c r="O61" s="314" t="s">
        <v>277</v>
      </c>
      <c r="P61" s="314"/>
      <c r="Q61" s="313" t="s">
        <v>278</v>
      </c>
      <c r="R61" s="313"/>
      <c r="S61" s="313" t="s">
        <v>279</v>
      </c>
      <c r="T61" s="313"/>
      <c r="U61" s="314">
        <v>200</v>
      </c>
      <c r="V61" s="314"/>
      <c r="W61" s="317" t="s">
        <v>81</v>
      </c>
      <c r="X61" s="314">
        <v>450</v>
      </c>
      <c r="Y61" s="314"/>
      <c r="Z61" s="314">
        <v>450</v>
      </c>
      <c r="AA61" s="314"/>
      <c r="AB61" s="314">
        <v>900</v>
      </c>
      <c r="AC61" s="314"/>
      <c r="AD61" s="314">
        <v>1287</v>
      </c>
      <c r="AE61" s="314"/>
      <c r="AF61" s="314"/>
      <c r="AG61" s="314">
        <v>900</v>
      </c>
      <c r="AH61" s="314"/>
      <c r="AI61" s="314"/>
      <c r="AJ61" s="314"/>
      <c r="AK61" s="314"/>
      <c r="AL61" s="314"/>
      <c r="AM61" s="314"/>
      <c r="AN61" s="314">
        <v>0</v>
      </c>
      <c r="AO61" s="314"/>
      <c r="AP61" s="314" t="s">
        <v>78</v>
      </c>
      <c r="AQ61" s="314"/>
      <c r="AR61" s="314"/>
      <c r="AS61" s="314" t="s">
        <v>64</v>
      </c>
      <c r="AT61" s="314"/>
      <c r="AU61"/>
      <c r="AV61"/>
      <c r="AW61"/>
      <c r="AX61"/>
      <c r="AY61"/>
      <c r="AZ61"/>
    </row>
    <row r="62" spans="1:52" x14ac:dyDescent="0.2">
      <c r="A62" s="313" t="s">
        <v>85</v>
      </c>
      <c r="B62" s="314" t="s">
        <v>182</v>
      </c>
      <c r="C62" s="314"/>
      <c r="D62" s="314"/>
      <c r="E62" s="314"/>
      <c r="F62" s="314"/>
      <c r="G62" s="315" t="s">
        <v>183</v>
      </c>
      <c r="H62" s="315"/>
      <c r="I62" s="316" t="s">
        <v>184</v>
      </c>
      <c r="J62" s="316"/>
      <c r="K62" s="314" t="s">
        <v>280</v>
      </c>
      <c r="L62" s="314"/>
      <c r="M62" s="314" t="s">
        <v>281</v>
      </c>
      <c r="N62" s="314"/>
      <c r="O62" s="314" t="s">
        <v>282</v>
      </c>
      <c r="P62" s="314"/>
      <c r="Q62" s="313" t="s">
        <v>280</v>
      </c>
      <c r="R62" s="313"/>
      <c r="S62" s="313" t="s">
        <v>283</v>
      </c>
      <c r="T62" s="313"/>
      <c r="U62" s="314">
        <v>195</v>
      </c>
      <c r="V62" s="314"/>
      <c r="W62" s="317" t="s">
        <v>81</v>
      </c>
      <c r="X62" s="314">
        <v>700</v>
      </c>
      <c r="Y62" s="314"/>
      <c r="Z62" s="314">
        <v>700</v>
      </c>
      <c r="AA62" s="314"/>
      <c r="AB62" s="314">
        <v>1400</v>
      </c>
      <c r="AC62" s="314"/>
      <c r="AD62" s="314">
        <v>2002</v>
      </c>
      <c r="AE62" s="314"/>
      <c r="AF62" s="314"/>
      <c r="AG62" s="314">
        <v>2000</v>
      </c>
      <c r="AH62" s="314"/>
      <c r="AI62" s="314"/>
      <c r="AJ62" s="314"/>
      <c r="AK62" s="314"/>
      <c r="AL62" s="314"/>
      <c r="AM62" s="314"/>
      <c r="AN62" s="314">
        <v>0</v>
      </c>
      <c r="AO62" s="314"/>
      <c r="AP62" s="314" t="s">
        <v>59</v>
      </c>
      <c r="AQ62" s="314"/>
      <c r="AR62" s="314"/>
      <c r="AS62" s="314" t="s">
        <v>64</v>
      </c>
      <c r="AT62" s="314"/>
      <c r="AU62"/>
      <c r="AV62"/>
      <c r="AW62"/>
      <c r="AX62"/>
      <c r="AY62"/>
      <c r="AZ62"/>
    </row>
    <row r="63" spans="1:52" x14ac:dyDescent="0.2">
      <c r="A63" s="313" t="s">
        <v>176</v>
      </c>
      <c r="B63" s="314" t="s">
        <v>171</v>
      </c>
      <c r="C63" s="314"/>
      <c r="D63" s="314"/>
      <c r="E63" s="314"/>
      <c r="F63" s="314"/>
      <c r="G63" s="315" t="s">
        <v>172</v>
      </c>
      <c r="H63" s="315"/>
      <c r="I63" s="316" t="s">
        <v>177</v>
      </c>
      <c r="J63" s="316"/>
      <c r="K63" s="314" t="s">
        <v>284</v>
      </c>
      <c r="L63" s="314"/>
      <c r="M63" s="314" t="s">
        <v>285</v>
      </c>
      <c r="N63" s="314"/>
      <c r="O63" s="314" t="s">
        <v>284</v>
      </c>
      <c r="P63" s="314"/>
      <c r="Q63" s="313" t="s">
        <v>284</v>
      </c>
      <c r="R63" s="313"/>
      <c r="S63" s="313" t="s">
        <v>286</v>
      </c>
      <c r="T63" s="313"/>
      <c r="U63" s="314">
        <v>295</v>
      </c>
      <c r="V63" s="314"/>
      <c r="W63" s="317" t="s">
        <v>110</v>
      </c>
      <c r="X63" s="314">
        <v>1390</v>
      </c>
      <c r="Y63" s="314"/>
      <c r="Z63" s="314">
        <v>0</v>
      </c>
      <c r="AA63" s="314"/>
      <c r="AB63" s="314">
        <v>1390</v>
      </c>
      <c r="AC63" s="314"/>
      <c r="AD63" s="314">
        <v>1987</v>
      </c>
      <c r="AE63" s="314"/>
      <c r="AF63" s="314"/>
      <c r="AG63" s="314">
        <v>3000</v>
      </c>
      <c r="AH63" s="314"/>
      <c r="AI63" s="314"/>
      <c r="AJ63" s="314"/>
      <c r="AK63" s="314" t="s">
        <v>48</v>
      </c>
      <c r="AL63" s="314"/>
      <c r="AM63" s="314"/>
      <c r="AN63" s="314">
        <v>0</v>
      </c>
      <c r="AO63" s="314"/>
      <c r="AP63" s="314" t="s">
        <v>61</v>
      </c>
      <c r="AQ63" s="314"/>
      <c r="AR63" s="314"/>
      <c r="AS63" s="314" t="s">
        <v>70</v>
      </c>
      <c r="AT63" s="314"/>
      <c r="AU63"/>
      <c r="AV63"/>
      <c r="AW63"/>
      <c r="AX63"/>
      <c r="AY63"/>
      <c r="AZ63"/>
    </row>
    <row r="64" spans="1:52" x14ac:dyDescent="0.2">
      <c r="A64" s="313" t="s">
        <v>91</v>
      </c>
      <c r="B64" s="314" t="s">
        <v>75</v>
      </c>
      <c r="C64" s="314"/>
      <c r="D64" s="314"/>
      <c r="E64" s="314"/>
      <c r="F64" s="314"/>
      <c r="G64" s="315" t="s">
        <v>76</v>
      </c>
      <c r="H64" s="315"/>
      <c r="I64" s="316" t="s">
        <v>139</v>
      </c>
      <c r="J64" s="316"/>
      <c r="K64" s="314" t="s">
        <v>287</v>
      </c>
      <c r="L64" s="314"/>
      <c r="M64" s="314" t="s">
        <v>288</v>
      </c>
      <c r="N64" s="314"/>
      <c r="O64" s="314" t="s">
        <v>289</v>
      </c>
      <c r="P64" s="314"/>
      <c r="Q64" s="313" t="s">
        <v>290</v>
      </c>
      <c r="R64" s="313"/>
      <c r="S64" s="313" t="s">
        <v>291</v>
      </c>
      <c r="T64" s="313"/>
      <c r="U64" s="314">
        <v>173</v>
      </c>
      <c r="V64" s="314"/>
      <c r="W64" s="317" t="s">
        <v>292</v>
      </c>
      <c r="X64" s="314">
        <v>0</v>
      </c>
      <c r="Y64" s="314"/>
      <c r="Z64" s="314">
        <v>350</v>
      </c>
      <c r="AA64" s="314"/>
      <c r="AB64" s="314">
        <v>350</v>
      </c>
      <c r="AC64" s="314"/>
      <c r="AD64" s="314">
        <v>500</v>
      </c>
      <c r="AE64" s="314"/>
      <c r="AF64" s="314"/>
      <c r="AG64" s="314">
        <v>350</v>
      </c>
      <c r="AH64" s="314"/>
      <c r="AI64" s="314"/>
      <c r="AJ64" s="314"/>
      <c r="AK64" s="314"/>
      <c r="AL64" s="314"/>
      <c r="AM64" s="314"/>
      <c r="AN64" s="314">
        <v>0</v>
      </c>
      <c r="AO64" s="314"/>
      <c r="AP64" s="314" t="s">
        <v>78</v>
      </c>
      <c r="AQ64" s="314"/>
      <c r="AR64" s="314"/>
      <c r="AS64" s="314" t="s">
        <v>79</v>
      </c>
      <c r="AT64" s="314"/>
      <c r="AU64"/>
      <c r="AV64"/>
      <c r="AW64"/>
      <c r="AX64"/>
      <c r="AY64"/>
      <c r="AZ64"/>
    </row>
    <row r="65" spans="1:52" x14ac:dyDescent="0.2">
      <c r="A65" s="313" t="s">
        <v>93</v>
      </c>
      <c r="B65" s="314" t="s">
        <v>196</v>
      </c>
      <c r="C65" s="314"/>
      <c r="D65" s="314"/>
      <c r="E65" s="314"/>
      <c r="F65" s="314"/>
      <c r="G65" s="315" t="s">
        <v>197</v>
      </c>
      <c r="H65" s="315"/>
      <c r="I65" s="316" t="s">
        <v>198</v>
      </c>
      <c r="J65" s="316"/>
      <c r="K65" s="314" t="s">
        <v>279</v>
      </c>
      <c r="L65" s="314"/>
      <c r="M65" s="314" t="s">
        <v>293</v>
      </c>
      <c r="N65" s="314"/>
      <c r="O65" s="314" t="s">
        <v>294</v>
      </c>
      <c r="P65" s="314"/>
      <c r="Q65" s="313" t="s">
        <v>295</v>
      </c>
      <c r="R65" s="313"/>
      <c r="S65" s="313" t="s">
        <v>285</v>
      </c>
      <c r="T65" s="313"/>
      <c r="U65" s="314">
        <v>172</v>
      </c>
      <c r="V65" s="314"/>
      <c r="W65" s="317" t="s">
        <v>77</v>
      </c>
      <c r="X65" s="314">
        <v>500</v>
      </c>
      <c r="Y65" s="314"/>
      <c r="Z65" s="314">
        <v>0</v>
      </c>
      <c r="AA65" s="314"/>
      <c r="AB65" s="314">
        <v>500</v>
      </c>
      <c r="AC65" s="314"/>
      <c r="AD65" s="314">
        <v>715</v>
      </c>
      <c r="AE65" s="314"/>
      <c r="AF65" s="314"/>
      <c r="AG65" s="314">
        <v>400</v>
      </c>
      <c r="AH65" s="314"/>
      <c r="AI65" s="314"/>
      <c r="AJ65" s="314"/>
      <c r="AK65" s="314"/>
      <c r="AL65" s="314"/>
      <c r="AM65" s="314"/>
      <c r="AN65" s="314">
        <v>0</v>
      </c>
      <c r="AO65" s="314"/>
      <c r="AP65" s="314" t="s">
        <v>89</v>
      </c>
      <c r="AQ65" s="314"/>
      <c r="AR65" s="314"/>
      <c r="AS65" s="314" t="s">
        <v>70</v>
      </c>
      <c r="AT65" s="314"/>
      <c r="AU65"/>
      <c r="AV65"/>
      <c r="AW65"/>
      <c r="AX65"/>
      <c r="AY65"/>
      <c r="AZ65"/>
    </row>
    <row r="66" spans="1:52" x14ac:dyDescent="0.2">
      <c r="A66" s="313" t="s">
        <v>99</v>
      </c>
      <c r="B66" s="314" t="s">
        <v>186</v>
      </c>
      <c r="C66" s="314"/>
      <c r="D66" s="314"/>
      <c r="E66" s="314"/>
      <c r="F66" s="314"/>
      <c r="G66" s="315" t="s">
        <v>187</v>
      </c>
      <c r="H66" s="315"/>
      <c r="I66" s="316" t="s">
        <v>188</v>
      </c>
      <c r="J66" s="316"/>
      <c r="K66" s="314" t="s">
        <v>296</v>
      </c>
      <c r="L66" s="314"/>
      <c r="M66" s="314" t="s">
        <v>297</v>
      </c>
      <c r="N66" s="314"/>
      <c r="O66" s="314" t="s">
        <v>298</v>
      </c>
      <c r="P66" s="314"/>
      <c r="Q66" s="313" t="s">
        <v>296</v>
      </c>
      <c r="R66" s="313"/>
      <c r="S66" s="313" t="s">
        <v>297</v>
      </c>
      <c r="T66" s="313"/>
      <c r="U66" s="314">
        <v>255</v>
      </c>
      <c r="V66" s="314"/>
      <c r="W66" s="317" t="s">
        <v>81</v>
      </c>
      <c r="X66" s="314">
        <v>2150</v>
      </c>
      <c r="Y66" s="314"/>
      <c r="Z66" s="314">
        <v>2552</v>
      </c>
      <c r="AA66" s="314"/>
      <c r="AB66" s="314">
        <v>4702</v>
      </c>
      <c r="AC66" s="314"/>
      <c r="AD66" s="314">
        <v>6723</v>
      </c>
      <c r="AE66" s="314"/>
      <c r="AF66" s="314"/>
      <c r="AG66" s="314">
        <v>4500</v>
      </c>
      <c r="AH66" s="314"/>
      <c r="AI66" s="314"/>
      <c r="AJ66" s="314"/>
      <c r="AK66" s="314" t="s">
        <v>48</v>
      </c>
      <c r="AL66" s="314"/>
      <c r="AM66" s="314"/>
      <c r="AN66" s="314">
        <v>0</v>
      </c>
      <c r="AO66" s="314"/>
      <c r="AP66" s="314" t="s">
        <v>61</v>
      </c>
      <c r="AQ66" s="314"/>
      <c r="AR66" s="314"/>
      <c r="AS66" s="314" t="s">
        <v>70</v>
      </c>
      <c r="AT66" s="314"/>
      <c r="AU66"/>
      <c r="AV66"/>
      <c r="AW66"/>
      <c r="AX66"/>
      <c r="AY66"/>
      <c r="AZ66"/>
    </row>
    <row r="67" spans="1:52" x14ac:dyDescent="0.2">
      <c r="A67" s="313" t="s">
        <v>142</v>
      </c>
      <c r="B67" s="314" t="s">
        <v>153</v>
      </c>
      <c r="C67" s="314"/>
      <c r="D67" s="314"/>
      <c r="E67" s="314"/>
      <c r="F67" s="314"/>
      <c r="G67" s="315" t="s">
        <v>154</v>
      </c>
      <c r="H67" s="315"/>
      <c r="I67" s="316" t="s">
        <v>155</v>
      </c>
      <c r="J67" s="316"/>
      <c r="K67" s="314" t="s">
        <v>259</v>
      </c>
      <c r="L67" s="314"/>
      <c r="M67" s="314" t="s">
        <v>260</v>
      </c>
      <c r="N67" s="314"/>
      <c r="O67" s="314" t="s">
        <v>296</v>
      </c>
      <c r="P67" s="314"/>
      <c r="Q67" s="313" t="s">
        <v>299</v>
      </c>
      <c r="R67" s="313"/>
      <c r="S67" s="313" t="s">
        <v>300</v>
      </c>
      <c r="T67" s="313"/>
      <c r="U67" s="314">
        <v>168</v>
      </c>
      <c r="V67" s="314"/>
      <c r="W67" s="317" t="s">
        <v>77</v>
      </c>
      <c r="X67" s="314">
        <v>0</v>
      </c>
      <c r="Y67" s="314"/>
      <c r="Z67" s="314">
        <v>400</v>
      </c>
      <c r="AA67" s="314"/>
      <c r="AB67" s="314">
        <v>400</v>
      </c>
      <c r="AC67" s="314"/>
      <c r="AD67" s="314">
        <v>572</v>
      </c>
      <c r="AE67" s="314"/>
      <c r="AF67" s="314"/>
      <c r="AG67" s="314">
        <v>400</v>
      </c>
      <c r="AH67" s="314"/>
      <c r="AI67" s="314"/>
      <c r="AJ67" s="314"/>
      <c r="AK67" s="314"/>
      <c r="AL67" s="314"/>
      <c r="AM67" s="314"/>
      <c r="AN67" s="314">
        <v>0</v>
      </c>
      <c r="AO67" s="314"/>
      <c r="AP67" s="314" t="s">
        <v>78</v>
      </c>
      <c r="AQ67" s="314"/>
      <c r="AR67" s="314"/>
      <c r="AS67" s="314" t="s">
        <v>79</v>
      </c>
      <c r="AT67" s="314"/>
      <c r="AU67"/>
      <c r="AV67"/>
      <c r="AW67"/>
      <c r="AX67"/>
      <c r="AY67"/>
      <c r="AZ67"/>
    </row>
    <row r="68" spans="1:52" x14ac:dyDescent="0.2">
      <c r="A68" s="313" t="s">
        <v>111</v>
      </c>
      <c r="B68" s="314" t="s">
        <v>230</v>
      </c>
      <c r="C68" s="314"/>
      <c r="D68" s="314"/>
      <c r="E68" s="314"/>
      <c r="F68" s="314"/>
      <c r="G68" s="315" t="s">
        <v>231</v>
      </c>
      <c r="H68" s="315"/>
      <c r="I68" s="316" t="s">
        <v>232</v>
      </c>
      <c r="J68" s="316"/>
      <c r="K68" s="314" t="s">
        <v>301</v>
      </c>
      <c r="L68" s="314"/>
      <c r="M68" s="314" t="s">
        <v>302</v>
      </c>
      <c r="N68" s="314"/>
      <c r="O68" s="314" t="s">
        <v>303</v>
      </c>
      <c r="P68" s="314"/>
      <c r="Q68" s="313" t="s">
        <v>304</v>
      </c>
      <c r="R68" s="313"/>
      <c r="S68" s="313" t="s">
        <v>305</v>
      </c>
      <c r="T68" s="313"/>
      <c r="U68" s="314">
        <v>169</v>
      </c>
      <c r="V68" s="314"/>
      <c r="W68" s="317" t="s">
        <v>77</v>
      </c>
      <c r="X68" s="314">
        <v>0</v>
      </c>
      <c r="Y68" s="314"/>
      <c r="Z68" s="314">
        <v>0</v>
      </c>
      <c r="AA68" s="314"/>
      <c r="AB68" s="314">
        <v>0</v>
      </c>
      <c r="AC68" s="314"/>
      <c r="AD68" s="314">
        <v>0</v>
      </c>
      <c r="AE68" s="314"/>
      <c r="AF68" s="314"/>
      <c r="AG68" s="314">
        <v>350</v>
      </c>
      <c r="AH68" s="314"/>
      <c r="AI68" s="314"/>
      <c r="AJ68" s="314"/>
      <c r="AK68" s="314"/>
      <c r="AL68" s="314"/>
      <c r="AM68" s="314"/>
      <c r="AN68" s="314">
        <v>0</v>
      </c>
      <c r="AO68" s="314"/>
      <c r="AP68" s="314" t="s">
        <v>78</v>
      </c>
      <c r="AQ68" s="314"/>
      <c r="AR68" s="314"/>
      <c r="AS68" s="314" t="s">
        <v>64</v>
      </c>
      <c r="AT68" s="314"/>
      <c r="AU68"/>
      <c r="AV68"/>
      <c r="AW68"/>
      <c r="AX68"/>
      <c r="AY68"/>
      <c r="AZ68"/>
    </row>
    <row r="69" spans="1:52" x14ac:dyDescent="0.2">
      <c r="A69" s="313" t="s">
        <v>96</v>
      </c>
      <c r="B69" s="314" t="s">
        <v>179</v>
      </c>
      <c r="C69" s="314"/>
      <c r="D69" s="314"/>
      <c r="E69" s="314"/>
      <c r="F69" s="314"/>
      <c r="G69" s="315" t="s">
        <v>180</v>
      </c>
      <c r="H69" s="315"/>
      <c r="I69" s="316" t="s">
        <v>82</v>
      </c>
      <c r="J69" s="316"/>
      <c r="K69" s="314" t="s">
        <v>306</v>
      </c>
      <c r="L69" s="314"/>
      <c r="M69" s="314" t="s">
        <v>307</v>
      </c>
      <c r="N69" s="314"/>
      <c r="O69" s="314" t="s">
        <v>306</v>
      </c>
      <c r="P69" s="314"/>
      <c r="Q69" s="313" t="s">
        <v>308</v>
      </c>
      <c r="R69" s="313"/>
      <c r="S69" s="313" t="s">
        <v>307</v>
      </c>
      <c r="T69" s="313"/>
      <c r="U69" s="314">
        <v>163</v>
      </c>
      <c r="V69" s="314"/>
      <c r="W69" s="317" t="s">
        <v>81</v>
      </c>
      <c r="X69" s="314">
        <v>600</v>
      </c>
      <c r="Y69" s="314"/>
      <c r="Z69" s="314">
        <v>600</v>
      </c>
      <c r="AA69" s="314"/>
      <c r="AB69" s="314">
        <v>1200</v>
      </c>
      <c r="AC69" s="314"/>
      <c r="AD69" s="314">
        <v>1716</v>
      </c>
      <c r="AE69" s="314"/>
      <c r="AF69" s="314"/>
      <c r="AG69" s="314">
        <v>700</v>
      </c>
      <c r="AH69" s="314"/>
      <c r="AI69" s="314"/>
      <c r="AJ69" s="314"/>
      <c r="AK69" s="314"/>
      <c r="AL69" s="314"/>
      <c r="AM69" s="314"/>
      <c r="AN69" s="314">
        <v>0</v>
      </c>
      <c r="AO69" s="314"/>
      <c r="AP69" s="314" t="s">
        <v>59</v>
      </c>
      <c r="AQ69" s="314"/>
      <c r="AR69" s="314"/>
      <c r="AS69" s="314" t="s">
        <v>79</v>
      </c>
      <c r="AT69" s="314"/>
      <c r="AU69"/>
      <c r="AV69"/>
      <c r="AW69"/>
      <c r="AX69"/>
      <c r="AY69"/>
      <c r="AZ69"/>
    </row>
    <row r="70" spans="1:52" x14ac:dyDescent="0.2">
      <c r="A70" s="313" t="s">
        <v>146</v>
      </c>
      <c r="B70" s="314" t="s">
        <v>196</v>
      </c>
      <c r="C70" s="314"/>
      <c r="D70" s="314"/>
      <c r="E70" s="314"/>
      <c r="F70" s="314"/>
      <c r="G70" s="315" t="s">
        <v>197</v>
      </c>
      <c r="H70" s="315"/>
      <c r="I70" s="316" t="s">
        <v>213</v>
      </c>
      <c r="J70" s="316"/>
      <c r="K70" s="314" t="s">
        <v>309</v>
      </c>
      <c r="L70" s="314"/>
      <c r="M70" s="314" t="s">
        <v>310</v>
      </c>
      <c r="N70" s="314"/>
      <c r="O70" s="314" t="s">
        <v>311</v>
      </c>
      <c r="P70" s="314"/>
      <c r="Q70" s="313" t="s">
        <v>312</v>
      </c>
      <c r="R70" s="313"/>
      <c r="S70" s="313" t="s">
        <v>313</v>
      </c>
      <c r="T70" s="313"/>
      <c r="U70" s="314">
        <v>172</v>
      </c>
      <c r="V70" s="314"/>
      <c r="W70" s="317" t="s">
        <v>77</v>
      </c>
      <c r="X70" s="314">
        <v>0</v>
      </c>
      <c r="Y70" s="314"/>
      <c r="Z70" s="314">
        <v>400</v>
      </c>
      <c r="AA70" s="314"/>
      <c r="AB70" s="314">
        <v>400</v>
      </c>
      <c r="AC70" s="314"/>
      <c r="AD70" s="314">
        <v>572</v>
      </c>
      <c r="AE70" s="314"/>
      <c r="AF70" s="314"/>
      <c r="AG70" s="314">
        <v>400</v>
      </c>
      <c r="AH70" s="314"/>
      <c r="AI70" s="314"/>
      <c r="AJ70" s="314"/>
      <c r="AK70" s="314"/>
      <c r="AL70" s="314"/>
      <c r="AM70" s="314"/>
      <c r="AN70" s="314">
        <v>0</v>
      </c>
      <c r="AO70" s="314"/>
      <c r="AP70" s="314" t="s">
        <v>89</v>
      </c>
      <c r="AQ70" s="314"/>
      <c r="AR70" s="314"/>
      <c r="AS70" s="314" t="s">
        <v>79</v>
      </c>
      <c r="AT70" s="314"/>
      <c r="AU70"/>
      <c r="AV70"/>
      <c r="AW70"/>
      <c r="AX70"/>
      <c r="AY70"/>
      <c r="AZ70"/>
    </row>
    <row r="71" spans="1:52" x14ac:dyDescent="0.2">
      <c r="A71" s="313" t="s">
        <v>60</v>
      </c>
      <c r="B71" s="314" t="s">
        <v>171</v>
      </c>
      <c r="C71" s="314"/>
      <c r="D71" s="314"/>
      <c r="E71" s="314"/>
      <c r="F71" s="314"/>
      <c r="G71" s="315" t="s">
        <v>172</v>
      </c>
      <c r="H71" s="315"/>
      <c r="I71" s="316" t="s">
        <v>173</v>
      </c>
      <c r="J71" s="316"/>
      <c r="K71" s="314" t="s">
        <v>314</v>
      </c>
      <c r="L71" s="314"/>
      <c r="M71" s="314" t="s">
        <v>315</v>
      </c>
      <c r="N71" s="314"/>
      <c r="O71" s="314" t="s">
        <v>316</v>
      </c>
      <c r="P71" s="314"/>
      <c r="Q71" s="313" t="s">
        <v>314</v>
      </c>
      <c r="R71" s="313"/>
      <c r="S71" s="313" t="s">
        <v>315</v>
      </c>
      <c r="T71" s="313"/>
      <c r="U71" s="314">
        <v>295</v>
      </c>
      <c r="V71" s="314"/>
      <c r="W71" s="317" t="s">
        <v>174</v>
      </c>
      <c r="X71" s="314">
        <v>0</v>
      </c>
      <c r="Y71" s="314"/>
      <c r="Z71" s="314">
        <v>2340</v>
      </c>
      <c r="AA71" s="314"/>
      <c r="AB71" s="314">
        <v>2340</v>
      </c>
      <c r="AC71" s="314"/>
      <c r="AD71" s="314">
        <v>3346</v>
      </c>
      <c r="AE71" s="314"/>
      <c r="AF71" s="314"/>
      <c r="AG71" s="314">
        <v>2600</v>
      </c>
      <c r="AH71" s="314"/>
      <c r="AI71" s="314"/>
      <c r="AJ71" s="314"/>
      <c r="AK71" s="314" t="s">
        <v>48</v>
      </c>
      <c r="AL71" s="314"/>
      <c r="AM71" s="314"/>
      <c r="AN71" s="314">
        <v>0</v>
      </c>
      <c r="AO71" s="314"/>
      <c r="AP71" s="314" t="s">
        <v>61</v>
      </c>
      <c r="AQ71" s="314"/>
      <c r="AR71" s="314"/>
      <c r="AS71" s="314" t="s">
        <v>70</v>
      </c>
      <c r="AT71" s="314"/>
      <c r="AU71"/>
      <c r="AV71"/>
      <c r="AW71"/>
      <c r="AX71"/>
      <c r="AY71"/>
      <c r="AZ71"/>
    </row>
    <row r="72" spans="1:52" x14ac:dyDescent="0.2">
      <c r="A72" s="313" t="s">
        <v>74</v>
      </c>
      <c r="B72" s="314" t="s">
        <v>208</v>
      </c>
      <c r="C72" s="314"/>
      <c r="D72" s="314"/>
      <c r="E72" s="314"/>
      <c r="F72" s="314"/>
      <c r="G72" s="315" t="s">
        <v>209</v>
      </c>
      <c r="H72" s="315"/>
      <c r="I72" s="316" t="s">
        <v>210</v>
      </c>
      <c r="J72" s="316"/>
      <c r="K72" s="314" t="s">
        <v>317</v>
      </c>
      <c r="L72" s="314"/>
      <c r="M72" s="314" t="s">
        <v>318</v>
      </c>
      <c r="N72" s="314"/>
      <c r="O72" s="314" t="s">
        <v>319</v>
      </c>
      <c r="P72" s="314"/>
      <c r="Q72" s="313" t="s">
        <v>320</v>
      </c>
      <c r="R72" s="313"/>
      <c r="S72" s="313" t="s">
        <v>321</v>
      </c>
      <c r="T72" s="313"/>
      <c r="U72" s="314">
        <v>172</v>
      </c>
      <c r="V72" s="314"/>
      <c r="W72" s="317" t="s">
        <v>77</v>
      </c>
      <c r="X72" s="314">
        <v>300</v>
      </c>
      <c r="Y72" s="314"/>
      <c r="Z72" s="314">
        <v>0</v>
      </c>
      <c r="AA72" s="314"/>
      <c r="AB72" s="314">
        <v>300</v>
      </c>
      <c r="AC72" s="314"/>
      <c r="AD72" s="314">
        <v>429</v>
      </c>
      <c r="AE72" s="314"/>
      <c r="AF72" s="314"/>
      <c r="AG72" s="314">
        <v>300</v>
      </c>
      <c r="AH72" s="314"/>
      <c r="AI72" s="314"/>
      <c r="AJ72" s="314"/>
      <c r="AK72" s="314"/>
      <c r="AL72" s="314"/>
      <c r="AM72" s="314"/>
      <c r="AN72" s="314">
        <v>0</v>
      </c>
      <c r="AO72" s="314"/>
      <c r="AP72" s="314" t="s">
        <v>211</v>
      </c>
      <c r="AQ72" s="314"/>
      <c r="AR72" s="314"/>
      <c r="AS72" s="314" t="s">
        <v>79</v>
      </c>
      <c r="AT72" s="314"/>
      <c r="AU72"/>
      <c r="AV72"/>
      <c r="AW72"/>
      <c r="AX72"/>
      <c r="AY72"/>
      <c r="AZ72"/>
    </row>
    <row r="73" spans="1:52" x14ac:dyDescent="0.2">
      <c r="A73" s="313" t="s">
        <v>63</v>
      </c>
      <c r="B73" s="314" t="s">
        <v>215</v>
      </c>
      <c r="C73" s="314"/>
      <c r="D73" s="314"/>
      <c r="E73" s="314"/>
      <c r="F73" s="314"/>
      <c r="G73" s="315" t="s">
        <v>216</v>
      </c>
      <c r="H73" s="315"/>
      <c r="I73" s="316" t="s">
        <v>82</v>
      </c>
      <c r="J73" s="316"/>
      <c r="K73" s="314" t="s">
        <v>322</v>
      </c>
      <c r="L73" s="314"/>
      <c r="M73" s="314" t="s">
        <v>323</v>
      </c>
      <c r="N73" s="314"/>
      <c r="O73" s="314" t="s">
        <v>324</v>
      </c>
      <c r="P73" s="314"/>
      <c r="Q73" s="313" t="s">
        <v>322</v>
      </c>
      <c r="R73" s="313"/>
      <c r="S73" s="313" t="s">
        <v>323</v>
      </c>
      <c r="T73" s="313"/>
      <c r="U73" s="314">
        <v>163</v>
      </c>
      <c r="V73" s="314"/>
      <c r="W73" s="317" t="s">
        <v>81</v>
      </c>
      <c r="X73" s="314">
        <v>800</v>
      </c>
      <c r="Y73" s="314"/>
      <c r="Z73" s="314">
        <v>1350</v>
      </c>
      <c r="AA73" s="314"/>
      <c r="AB73" s="314">
        <v>2150</v>
      </c>
      <c r="AC73" s="314"/>
      <c r="AD73" s="314">
        <v>3074</v>
      </c>
      <c r="AE73" s="314"/>
      <c r="AF73" s="314"/>
      <c r="AG73" s="314">
        <v>3000</v>
      </c>
      <c r="AH73" s="314"/>
      <c r="AI73" s="314"/>
      <c r="AJ73" s="314"/>
      <c r="AK73" s="314"/>
      <c r="AL73" s="314"/>
      <c r="AM73" s="314"/>
      <c r="AN73" s="314">
        <v>0</v>
      </c>
      <c r="AO73" s="314"/>
      <c r="AP73" s="314" t="s">
        <v>59</v>
      </c>
      <c r="AQ73" s="314"/>
      <c r="AR73" s="314"/>
      <c r="AS73" s="314" t="s">
        <v>64</v>
      </c>
      <c r="AT73" s="314"/>
      <c r="AU73"/>
      <c r="AV73"/>
      <c r="AW73"/>
      <c r="AX73"/>
      <c r="AY73"/>
      <c r="AZ73"/>
    </row>
    <row r="74" spans="1:52" x14ac:dyDescent="0.2">
      <c r="A74" s="313" t="s">
        <v>97</v>
      </c>
      <c r="B74" s="314" t="s">
        <v>226</v>
      </c>
      <c r="C74" s="314"/>
      <c r="D74" s="314"/>
      <c r="E74" s="314"/>
      <c r="F74" s="314"/>
      <c r="G74" s="315" t="s">
        <v>227</v>
      </c>
      <c r="H74" s="315"/>
      <c r="I74" s="316" t="s">
        <v>228</v>
      </c>
      <c r="J74" s="316"/>
      <c r="K74" s="314" t="s">
        <v>325</v>
      </c>
      <c r="L74" s="314"/>
      <c r="M74" s="314" t="s">
        <v>301</v>
      </c>
      <c r="N74" s="314"/>
      <c r="O74" s="314" t="s">
        <v>326</v>
      </c>
      <c r="P74" s="314"/>
      <c r="Q74" s="313" t="s">
        <v>325</v>
      </c>
      <c r="R74" s="313"/>
      <c r="S74" s="313" t="s">
        <v>320</v>
      </c>
      <c r="T74" s="313"/>
      <c r="U74" s="314">
        <v>176</v>
      </c>
      <c r="V74" s="314"/>
      <c r="W74" s="317" t="s">
        <v>77</v>
      </c>
      <c r="X74" s="314">
        <v>0</v>
      </c>
      <c r="Y74" s="314"/>
      <c r="Z74" s="314">
        <v>0</v>
      </c>
      <c r="AA74" s="314"/>
      <c r="AB74" s="314">
        <v>0</v>
      </c>
      <c r="AC74" s="314"/>
      <c r="AD74" s="314">
        <v>0</v>
      </c>
      <c r="AE74" s="314"/>
      <c r="AF74" s="314"/>
      <c r="AG74" s="314">
        <v>1200</v>
      </c>
      <c r="AH74" s="314"/>
      <c r="AI74" s="314"/>
      <c r="AJ74" s="314"/>
      <c r="AK74" s="314"/>
      <c r="AL74" s="314"/>
      <c r="AM74" s="314"/>
      <c r="AN74" s="314">
        <v>0</v>
      </c>
      <c r="AO74" s="314"/>
      <c r="AP74" s="314" t="s">
        <v>59</v>
      </c>
      <c r="AQ74" s="314"/>
      <c r="AR74" s="314"/>
      <c r="AS74" s="314" t="s">
        <v>64</v>
      </c>
      <c r="AT74" s="314"/>
      <c r="AU74"/>
      <c r="AV74"/>
      <c r="AW74"/>
      <c r="AX74"/>
      <c r="AY74"/>
      <c r="AZ74"/>
    </row>
    <row r="75" spans="1:52" ht="36" customHeight="1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 s="256" t="s">
        <v>72</v>
      </c>
      <c r="AC75" s="257"/>
      <c r="AD75" s="258">
        <f>SUM(AD53:AD74)</f>
        <v>38696</v>
      </c>
      <c r="AE75" s="257"/>
      <c r="AF75" s="257"/>
      <c r="AG75" s="259" t="s">
        <v>73</v>
      </c>
      <c r="AH75" s="260"/>
      <c r="AI75" s="260"/>
      <c r="AJ75" s="255">
        <v>22</v>
      </c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ht="36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ht="36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:52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:52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:52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:52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:52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:52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:52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:52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:52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:52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:52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:52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:52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:52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:52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:52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:52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:52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:52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:52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:52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:52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:52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:52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:52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:52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:52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:52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:52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:52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:52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:52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:52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:52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:52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:52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:52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:52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:52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:52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:52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:52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:52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:52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:52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:52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:52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:52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:52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:52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:52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:52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:52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:52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:52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:52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:52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:52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:52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:52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:52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:52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:52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:52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:52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:52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:52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:52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:52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:52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:52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1:52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1:52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1:52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1:52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1:52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:52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:52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:52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:52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:52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52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52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:52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:52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:52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1:52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:52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1:52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1:52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1:52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1:52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1:52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1:52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1:52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1:52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1:52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1:52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1:52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1:52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1:52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1:52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1:52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1:52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1:52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1:52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1:52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1:52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1:52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1:52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1:52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1:52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1:52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1:52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  <row r="301" spans="1:52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</row>
    <row r="302" spans="1:52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</row>
    <row r="303" spans="1:52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</row>
    <row r="304" spans="1:52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</row>
    <row r="305" spans="1:52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</row>
    <row r="306" spans="1:52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</row>
    <row r="307" spans="1:52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</row>
    <row r="308" spans="1:52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</row>
    <row r="309" spans="1:52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</row>
    <row r="310" spans="1:52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</row>
    <row r="311" spans="1:52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</row>
    <row r="312" spans="1:52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</row>
    <row r="313" spans="1:52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</row>
    <row r="314" spans="1:52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</row>
    <row r="315" spans="1:52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</row>
    <row r="316" spans="1:52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</row>
    <row r="317" spans="1:52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</row>
    <row r="318" spans="1:52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</row>
    <row r="319" spans="1:52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</row>
    <row r="320" spans="1:52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</row>
    <row r="321" spans="1:52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</row>
    <row r="322" spans="1:52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</row>
    <row r="323" spans="1:52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</row>
    <row r="324" spans="1:52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</row>
    <row r="325" spans="1:52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</row>
    <row r="326" spans="1:52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</row>
    <row r="327" spans="1:52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</row>
    <row r="328" spans="1:52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</row>
    <row r="329" spans="1:52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</row>
    <row r="330" spans="1:52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</row>
    <row r="331" spans="1:52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</row>
    <row r="332" spans="1:52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</row>
    <row r="333" spans="1:52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</row>
    <row r="334" spans="1:52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</row>
    <row r="335" spans="1:52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</row>
    <row r="336" spans="1:52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</row>
    <row r="337" spans="1:52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</row>
    <row r="338" spans="1:52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</row>
    <row r="339" spans="1:52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</row>
    <row r="340" spans="1:52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</row>
    <row r="341" spans="1:52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</row>
    <row r="342" spans="1:52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</row>
    <row r="343" spans="1:52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</row>
    <row r="344" spans="1:52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</row>
    <row r="345" spans="1:52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</row>
    <row r="346" spans="1:52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</row>
    <row r="347" spans="1:52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</row>
    <row r="348" spans="1:52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</row>
    <row r="349" spans="1:52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</row>
    <row r="350" spans="1:52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</row>
    <row r="351" spans="1:52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</row>
    <row r="352" spans="1:52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</row>
    <row r="353" spans="1:52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</row>
    <row r="354" spans="1:52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</row>
    <row r="355" spans="1:52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</row>
    <row r="356" spans="1:52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</row>
    <row r="357" spans="1:52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</row>
    <row r="358" spans="1:52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</row>
    <row r="359" spans="1:52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</row>
    <row r="360" spans="1:52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</row>
    <row r="361" spans="1:52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</row>
    <row r="362" spans="1:52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</row>
    <row r="363" spans="1:52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</row>
    <row r="364" spans="1:52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</row>
    <row r="365" spans="1:52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</row>
    <row r="366" spans="1:52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</row>
    <row r="367" spans="1:52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</row>
    <row r="368" spans="1:52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</row>
    <row r="369" spans="1:52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</row>
    <row r="370" spans="1:52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</row>
    <row r="371" spans="1:52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</row>
    <row r="372" spans="1:52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</row>
    <row r="373" spans="1:52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</row>
    <row r="374" spans="1:52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</row>
    <row r="375" spans="1:52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</row>
    <row r="376" spans="1:52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</row>
    <row r="377" spans="1:52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</row>
    <row r="378" spans="1:52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</row>
    <row r="379" spans="1:52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</row>
    <row r="380" spans="1:52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</row>
    <row r="381" spans="1:52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</row>
    <row r="382" spans="1:52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</row>
    <row r="383" spans="1:52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</row>
    <row r="384" spans="1:52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</row>
    <row r="385" spans="1:52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</row>
    <row r="386" spans="1:52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</row>
    <row r="387" spans="1:52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</row>
    <row r="388" spans="1:52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</row>
    <row r="389" spans="1:52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</row>
    <row r="390" spans="1:52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</row>
    <row r="391" spans="1:52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</row>
    <row r="392" spans="1:52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</row>
    <row r="393" spans="1:52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</row>
    <row r="394" spans="1:52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</row>
    <row r="395" spans="1:52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</row>
    <row r="396" spans="1:52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</row>
    <row r="397" spans="1:52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</row>
    <row r="398" spans="1:52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</row>
    <row r="399" spans="1:52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</row>
    <row r="400" spans="1:52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</row>
    <row r="401" spans="1:52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</row>
    <row r="402" spans="1:52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</row>
    <row r="403" spans="1:52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</row>
    <row r="404" spans="1:52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</row>
    <row r="405" spans="1:52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</row>
    <row r="406" spans="1:52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</row>
    <row r="407" spans="1:52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</row>
    <row r="408" spans="1:52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</row>
    <row r="409" spans="1:52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</row>
    <row r="410" spans="1:52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</row>
    <row r="411" spans="1:52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</row>
    <row r="412" spans="1:52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</row>
    <row r="413" spans="1:52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</row>
    <row r="414" spans="1:52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</row>
    <row r="415" spans="1:52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</row>
    <row r="416" spans="1:52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</row>
    <row r="417" spans="1:52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</row>
    <row r="418" spans="1:52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</row>
    <row r="419" spans="1:52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</row>
    <row r="420" spans="1:52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</row>
    <row r="421" spans="1:52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</row>
    <row r="422" spans="1:52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</row>
    <row r="423" spans="1:52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</row>
    <row r="424" spans="1:52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</row>
    <row r="425" spans="1:52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</row>
    <row r="426" spans="1:52" x14ac:dyDescent="0.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</row>
    <row r="427" spans="1:52" x14ac:dyDescent="0.2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</row>
    <row r="428" spans="1:52" x14ac:dyDescent="0.2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</row>
    <row r="429" spans="1:52" x14ac:dyDescent="0.2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</row>
    <row r="430" spans="1:52" x14ac:dyDescent="0.2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</row>
    <row r="431" spans="1:52" x14ac:dyDescent="0.2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</row>
    <row r="432" spans="1:52" x14ac:dyDescent="0.2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</row>
    <row r="433" spans="1:52" x14ac:dyDescent="0.2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</row>
    <row r="434" spans="1:52" x14ac:dyDescent="0.2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</row>
    <row r="435" spans="1:52" x14ac:dyDescent="0.2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</row>
    <row r="436" spans="1:52" x14ac:dyDescent="0.2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</row>
    <row r="437" spans="1:52" x14ac:dyDescent="0.2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</row>
    <row r="438" spans="1:52" x14ac:dyDescent="0.2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</row>
    <row r="439" spans="1:52" x14ac:dyDescent="0.2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</row>
    <row r="440" spans="1:52" x14ac:dyDescent="0.2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</row>
    <row r="441" spans="1:52" x14ac:dyDescent="0.2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</row>
    <row r="442" spans="1:52" x14ac:dyDescent="0.2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</row>
    <row r="443" spans="1:52" x14ac:dyDescent="0.2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</row>
    <row r="444" spans="1:52" x14ac:dyDescent="0.2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</row>
    <row r="445" spans="1:52" x14ac:dyDescent="0.2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</row>
    <row r="446" spans="1:52" x14ac:dyDescent="0.2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</row>
    <row r="447" spans="1:52" x14ac:dyDescent="0.2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</row>
    <row r="448" spans="1:52" x14ac:dyDescent="0.2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</row>
    <row r="449" spans="1:52" x14ac:dyDescent="0.2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</row>
    <row r="450" spans="1:52" x14ac:dyDescent="0.2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</row>
    <row r="451" spans="1:52" x14ac:dyDescent="0.2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</row>
    <row r="452" spans="1:52" x14ac:dyDescent="0.2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</row>
    <row r="453" spans="1:52" x14ac:dyDescent="0.2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</row>
    <row r="454" spans="1:52" x14ac:dyDescent="0.2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</row>
    <row r="455" spans="1:52" x14ac:dyDescent="0.2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</row>
    <row r="456" spans="1:52" x14ac:dyDescent="0.2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</row>
    <row r="457" spans="1:52" x14ac:dyDescent="0.2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</row>
    <row r="458" spans="1:52" x14ac:dyDescent="0.2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</row>
    <row r="459" spans="1:52" x14ac:dyDescent="0.2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</row>
    <row r="460" spans="1:52" x14ac:dyDescent="0.2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</row>
    <row r="461" spans="1:52" x14ac:dyDescent="0.2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</row>
    <row r="462" spans="1:52" x14ac:dyDescent="0.2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</row>
    <row r="463" spans="1:52" x14ac:dyDescent="0.2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</row>
    <row r="464" spans="1:52" x14ac:dyDescent="0.2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</row>
    <row r="465" spans="1:52" x14ac:dyDescent="0.2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</row>
    <row r="466" spans="1:52" x14ac:dyDescent="0.2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</row>
    <row r="467" spans="1:52" x14ac:dyDescent="0.2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</row>
    <row r="468" spans="1:52" x14ac:dyDescent="0.2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</row>
    <row r="469" spans="1:52" x14ac:dyDescent="0.2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</row>
    <row r="470" spans="1:52" x14ac:dyDescent="0.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</row>
    <row r="471" spans="1:52" x14ac:dyDescent="0.2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</row>
    <row r="472" spans="1:52" x14ac:dyDescent="0.2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</row>
    <row r="473" spans="1:52" x14ac:dyDescent="0.2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</row>
    <row r="474" spans="1:52" x14ac:dyDescent="0.2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</row>
    <row r="475" spans="1:52" x14ac:dyDescent="0.2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</row>
    <row r="476" spans="1:52" x14ac:dyDescent="0.2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</row>
    <row r="477" spans="1:52" x14ac:dyDescent="0.2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</row>
    <row r="478" spans="1:52" x14ac:dyDescent="0.2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</row>
    <row r="479" spans="1:52" x14ac:dyDescent="0.2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</row>
    <row r="480" spans="1:52" x14ac:dyDescent="0.2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</row>
    <row r="481" spans="1:52" x14ac:dyDescent="0.2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</row>
    <row r="482" spans="1:52" x14ac:dyDescent="0.2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</row>
    <row r="483" spans="1:52" x14ac:dyDescent="0.2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</row>
    <row r="484" spans="1:52" x14ac:dyDescent="0.2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</row>
    <row r="485" spans="1:52" x14ac:dyDescent="0.2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</row>
    <row r="486" spans="1:52" x14ac:dyDescent="0.2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</row>
    <row r="487" spans="1:52" x14ac:dyDescent="0.2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</row>
    <row r="488" spans="1:52" x14ac:dyDescent="0.2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</row>
    <row r="489" spans="1:52" x14ac:dyDescent="0.2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</row>
    <row r="490" spans="1:52" x14ac:dyDescent="0.2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</row>
    <row r="491" spans="1:52" x14ac:dyDescent="0.2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</row>
    <row r="492" spans="1:52" x14ac:dyDescent="0.2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</row>
    <row r="493" spans="1:52" x14ac:dyDescent="0.2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</row>
    <row r="494" spans="1:52" x14ac:dyDescent="0.2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</row>
    <row r="495" spans="1:52" x14ac:dyDescent="0.2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</row>
    <row r="496" spans="1:52" x14ac:dyDescent="0.2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</row>
    <row r="497" spans="1:52" x14ac:dyDescent="0.2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</row>
    <row r="498" spans="1:52" x14ac:dyDescent="0.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</row>
    <row r="499" spans="1:52" x14ac:dyDescent="0.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</row>
    <row r="500" spans="1:52" x14ac:dyDescent="0.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</row>
    <row r="501" spans="1:52" x14ac:dyDescent="0.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</row>
    <row r="502" spans="1:52" x14ac:dyDescent="0.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</row>
    <row r="503" spans="1:52" x14ac:dyDescent="0.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</row>
    <row r="504" spans="1:52" x14ac:dyDescent="0.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</row>
    <row r="505" spans="1:52" x14ac:dyDescent="0.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</row>
    <row r="506" spans="1:52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</row>
    <row r="507" spans="1:52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</row>
    <row r="508" spans="1:52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</row>
    <row r="509" spans="1:52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</row>
    <row r="510" spans="1:52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</row>
    <row r="511" spans="1:52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</row>
    <row r="512" spans="1:52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</row>
    <row r="513" spans="1:52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</row>
    <row r="514" spans="1:52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</row>
    <row r="515" spans="1:52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</row>
    <row r="516" spans="1:52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</row>
    <row r="517" spans="1:52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</row>
    <row r="518" spans="1:52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</row>
    <row r="519" spans="1:52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</row>
    <row r="520" spans="1:52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</row>
    <row r="521" spans="1:52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</row>
    <row r="522" spans="1:52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</row>
    <row r="523" spans="1:52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</row>
    <row r="524" spans="1:52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</row>
    <row r="525" spans="1:52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</row>
    <row r="526" spans="1:52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</row>
    <row r="527" spans="1:52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</row>
    <row r="528" spans="1:52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</row>
    <row r="529" spans="1:52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</row>
    <row r="530" spans="1:52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</row>
    <row r="531" spans="1:52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</row>
    <row r="532" spans="1:52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</row>
    <row r="533" spans="1:52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</row>
    <row r="534" spans="1:52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</row>
    <row r="535" spans="1:52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</row>
    <row r="536" spans="1:52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</row>
    <row r="537" spans="1:52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</row>
    <row r="538" spans="1:52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</row>
    <row r="539" spans="1:52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</row>
    <row r="540" spans="1:52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</row>
    <row r="541" spans="1:52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</row>
    <row r="542" spans="1:52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</row>
    <row r="543" spans="1:52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</row>
    <row r="544" spans="1:52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</row>
    <row r="545" spans="1:52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</row>
    <row r="546" spans="1:52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</row>
    <row r="547" spans="1:52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</row>
    <row r="548" spans="1:52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</row>
    <row r="549" spans="1:52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</row>
    <row r="550" spans="1:52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</row>
    <row r="551" spans="1:52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</row>
    <row r="552" spans="1:52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</row>
    <row r="553" spans="1:52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</row>
    <row r="554" spans="1:52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</row>
    <row r="555" spans="1:52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</row>
    <row r="556" spans="1:52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</row>
    <row r="557" spans="1:52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</row>
    <row r="558" spans="1:52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</row>
    <row r="559" spans="1:52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</row>
    <row r="560" spans="1:52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</row>
    <row r="561" spans="1:52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</row>
    <row r="562" spans="1:52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</row>
    <row r="563" spans="1:52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</row>
    <row r="564" spans="1:52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</row>
    <row r="565" spans="1:52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</row>
    <row r="566" spans="1:52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</row>
    <row r="567" spans="1:52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</row>
    <row r="568" spans="1:52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</row>
    <row r="569" spans="1:52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</row>
    <row r="570" spans="1:52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</row>
    <row r="571" spans="1:52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</row>
    <row r="572" spans="1:52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</row>
    <row r="573" spans="1:52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</row>
    <row r="574" spans="1:52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</row>
    <row r="575" spans="1:52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</row>
    <row r="576" spans="1:52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</row>
    <row r="577" spans="1:52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</row>
    <row r="578" spans="1:52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</row>
    <row r="579" spans="1:52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</row>
    <row r="580" spans="1:52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</row>
    <row r="581" spans="1:52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</row>
    <row r="582" spans="1:52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</row>
    <row r="583" spans="1:52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</row>
    <row r="584" spans="1:52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</row>
    <row r="585" spans="1:52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</row>
    <row r="586" spans="1:52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</row>
    <row r="587" spans="1:52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</row>
    <row r="588" spans="1:52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</row>
    <row r="589" spans="1:52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</row>
    <row r="590" spans="1:52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</row>
    <row r="591" spans="1:52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</row>
    <row r="592" spans="1:52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</row>
    <row r="593" spans="1:52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</row>
    <row r="594" spans="1:52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</row>
    <row r="595" spans="1:52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</row>
    <row r="596" spans="1:52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</row>
    <row r="597" spans="1:52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</row>
    <row r="598" spans="1:52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</row>
    <row r="599" spans="1:52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</row>
    <row r="600" spans="1:52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</row>
    <row r="601" spans="1:52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</row>
    <row r="602" spans="1:52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</row>
    <row r="603" spans="1:52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</row>
    <row r="604" spans="1:52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</row>
    <row r="605" spans="1:52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</row>
    <row r="606" spans="1:52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</row>
    <row r="607" spans="1:52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</row>
    <row r="608" spans="1:52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</row>
    <row r="609" spans="1:52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</row>
    <row r="610" spans="1:52" x14ac:dyDescent="0.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</row>
    <row r="611" spans="1:52" x14ac:dyDescent="0.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</row>
    <row r="612" spans="1:52" x14ac:dyDescent="0.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</row>
    <row r="613" spans="1:52" x14ac:dyDescent="0.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</row>
    <row r="614" spans="1:52" x14ac:dyDescent="0.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</row>
    <row r="615" spans="1:52" x14ac:dyDescent="0.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</row>
    <row r="616" spans="1:52" x14ac:dyDescent="0.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</row>
    <row r="617" spans="1:52" x14ac:dyDescent="0.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</row>
    <row r="618" spans="1:52" x14ac:dyDescent="0.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</row>
    <row r="619" spans="1:52" x14ac:dyDescent="0.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</row>
    <row r="620" spans="1:52" x14ac:dyDescent="0.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</row>
    <row r="621" spans="1:52" x14ac:dyDescent="0.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</row>
    <row r="622" spans="1:52" x14ac:dyDescent="0.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</row>
    <row r="623" spans="1:52" x14ac:dyDescent="0.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</row>
    <row r="624" spans="1:52" x14ac:dyDescent="0.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</row>
    <row r="625" spans="1:52" x14ac:dyDescent="0.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</row>
    <row r="626" spans="1:52" x14ac:dyDescent="0.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</row>
    <row r="627" spans="1:52" x14ac:dyDescent="0.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</row>
    <row r="628" spans="1:52" x14ac:dyDescent="0.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</row>
    <row r="629" spans="1:52" x14ac:dyDescent="0.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</row>
    <row r="630" spans="1:52" x14ac:dyDescent="0.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</row>
    <row r="631" spans="1:52" x14ac:dyDescent="0.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</row>
    <row r="632" spans="1:52" x14ac:dyDescent="0.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</row>
    <row r="633" spans="1:52" x14ac:dyDescent="0.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</row>
    <row r="634" spans="1:52" x14ac:dyDescent="0.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</row>
    <row r="635" spans="1:52" x14ac:dyDescent="0.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</row>
    <row r="636" spans="1:52" x14ac:dyDescent="0.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</row>
    <row r="637" spans="1:52" x14ac:dyDescent="0.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</row>
    <row r="638" spans="1:52" x14ac:dyDescent="0.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</row>
    <row r="639" spans="1:52" x14ac:dyDescent="0.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</row>
    <row r="640" spans="1:52" x14ac:dyDescent="0.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</row>
    <row r="641" spans="1:52" x14ac:dyDescent="0.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</row>
    <row r="642" spans="1:52" x14ac:dyDescent="0.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</row>
    <row r="643" spans="1:52" x14ac:dyDescent="0.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</row>
    <row r="644" spans="1:52" x14ac:dyDescent="0.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</row>
    <row r="645" spans="1:52" x14ac:dyDescent="0.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</row>
    <row r="646" spans="1:52" x14ac:dyDescent="0.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</row>
    <row r="647" spans="1:52" x14ac:dyDescent="0.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</row>
    <row r="648" spans="1:52" x14ac:dyDescent="0.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</row>
    <row r="649" spans="1:52" x14ac:dyDescent="0.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</row>
    <row r="650" spans="1:52" x14ac:dyDescent="0.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</row>
    <row r="651" spans="1:52" x14ac:dyDescent="0.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</row>
    <row r="652" spans="1:52" x14ac:dyDescent="0.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</row>
    <row r="653" spans="1:52" x14ac:dyDescent="0.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</row>
    <row r="654" spans="1:52" x14ac:dyDescent="0.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</row>
    <row r="655" spans="1:52" x14ac:dyDescent="0.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</row>
    <row r="656" spans="1:52" x14ac:dyDescent="0.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</row>
    <row r="657" spans="1:52" x14ac:dyDescent="0.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</row>
    <row r="658" spans="1:52" x14ac:dyDescent="0.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</row>
    <row r="659" spans="1:52" x14ac:dyDescent="0.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</row>
    <row r="660" spans="1:52" x14ac:dyDescent="0.2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</row>
    <row r="661" spans="1:52" x14ac:dyDescent="0.2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</row>
    <row r="662" spans="1:52" x14ac:dyDescent="0.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</row>
    <row r="663" spans="1:52" x14ac:dyDescent="0.2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</row>
    <row r="664" spans="1:52" x14ac:dyDescent="0.2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</row>
    <row r="665" spans="1:52" x14ac:dyDescent="0.2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</row>
    <row r="666" spans="1:52" x14ac:dyDescent="0.2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</row>
    <row r="667" spans="1:52" x14ac:dyDescent="0.2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</row>
    <row r="668" spans="1:52" x14ac:dyDescent="0.2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</row>
    <row r="669" spans="1:52" x14ac:dyDescent="0.2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</row>
    <row r="670" spans="1:52" x14ac:dyDescent="0.2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</row>
    <row r="671" spans="1:52" x14ac:dyDescent="0.2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</row>
    <row r="672" spans="1:52" x14ac:dyDescent="0.2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</row>
    <row r="673" spans="1:52" x14ac:dyDescent="0.2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</row>
    <row r="674" spans="1:52" x14ac:dyDescent="0.2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</row>
    <row r="675" spans="1:52" x14ac:dyDescent="0.2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</row>
    <row r="676" spans="1:52" x14ac:dyDescent="0.2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</row>
    <row r="677" spans="1:52" x14ac:dyDescent="0.2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</row>
    <row r="678" spans="1:52" x14ac:dyDescent="0.2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</row>
    <row r="679" spans="1:52" x14ac:dyDescent="0.2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</row>
    <row r="680" spans="1:52" x14ac:dyDescent="0.2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</row>
    <row r="681" spans="1:52" x14ac:dyDescent="0.2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</row>
    <row r="682" spans="1:52" x14ac:dyDescent="0.2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</row>
    <row r="683" spans="1:52" x14ac:dyDescent="0.2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</row>
    <row r="684" spans="1:52" x14ac:dyDescent="0.2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</row>
    <row r="685" spans="1:52" x14ac:dyDescent="0.2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</row>
    <row r="686" spans="1:52" x14ac:dyDescent="0.2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</row>
    <row r="687" spans="1:52" x14ac:dyDescent="0.2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</row>
    <row r="688" spans="1:52" x14ac:dyDescent="0.2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</row>
    <row r="689" spans="1:52" x14ac:dyDescent="0.2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</row>
    <row r="690" spans="1:52" x14ac:dyDescent="0.2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</row>
    <row r="691" spans="1:52" x14ac:dyDescent="0.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</row>
    <row r="692" spans="1:52" x14ac:dyDescent="0.2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</row>
    <row r="693" spans="1:52" x14ac:dyDescent="0.2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</row>
    <row r="694" spans="1:52" x14ac:dyDescent="0.2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</row>
    <row r="695" spans="1:52" x14ac:dyDescent="0.2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</row>
    <row r="696" spans="1:52" x14ac:dyDescent="0.2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</row>
    <row r="697" spans="1:52" x14ac:dyDescent="0.2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</row>
    <row r="698" spans="1:52" x14ac:dyDescent="0.2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</row>
    <row r="699" spans="1:52" x14ac:dyDescent="0.2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</row>
    <row r="700" spans="1:52" x14ac:dyDescent="0.2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</row>
    <row r="701" spans="1:52" x14ac:dyDescent="0.2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</row>
    <row r="702" spans="1:52" x14ac:dyDescent="0.2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</row>
    <row r="703" spans="1:52" x14ac:dyDescent="0.2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</row>
    <row r="704" spans="1:52" x14ac:dyDescent="0.2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</row>
    <row r="705" spans="1:52" x14ac:dyDescent="0.2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</row>
    <row r="706" spans="1:52" x14ac:dyDescent="0.2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</row>
    <row r="707" spans="1:52" x14ac:dyDescent="0.2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</row>
    <row r="708" spans="1:52" x14ac:dyDescent="0.2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</row>
    <row r="709" spans="1:52" x14ac:dyDescent="0.2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</row>
    <row r="710" spans="1:52" x14ac:dyDescent="0.2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</row>
    <row r="711" spans="1:52" x14ac:dyDescent="0.2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</row>
    <row r="712" spans="1:52" x14ac:dyDescent="0.2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</row>
    <row r="713" spans="1:52" x14ac:dyDescent="0.2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</row>
    <row r="714" spans="1:52" x14ac:dyDescent="0.2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</row>
    <row r="715" spans="1:52" x14ac:dyDescent="0.2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</row>
    <row r="716" spans="1:52" x14ac:dyDescent="0.2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</row>
    <row r="717" spans="1:52" x14ac:dyDescent="0.2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</row>
    <row r="718" spans="1:52" x14ac:dyDescent="0.2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</row>
    <row r="719" spans="1:52" x14ac:dyDescent="0.2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</row>
    <row r="720" spans="1:52" x14ac:dyDescent="0.2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</row>
    <row r="721" spans="1:52" x14ac:dyDescent="0.2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</row>
    <row r="722" spans="1:52" x14ac:dyDescent="0.2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</row>
    <row r="723" spans="1:52" x14ac:dyDescent="0.2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</row>
    <row r="724" spans="1:52" x14ac:dyDescent="0.2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</row>
    <row r="725" spans="1:52" x14ac:dyDescent="0.2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</row>
    <row r="726" spans="1:52" x14ac:dyDescent="0.2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</row>
    <row r="727" spans="1:52" x14ac:dyDescent="0.2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</row>
    <row r="728" spans="1:52" x14ac:dyDescent="0.2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</row>
    <row r="729" spans="1:52" x14ac:dyDescent="0.2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</row>
    <row r="730" spans="1:52" x14ac:dyDescent="0.2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</row>
    <row r="731" spans="1:52" x14ac:dyDescent="0.2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</row>
    <row r="732" spans="1:52" x14ac:dyDescent="0.2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</row>
    <row r="733" spans="1:52" x14ac:dyDescent="0.2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</row>
    <row r="734" spans="1:52" x14ac:dyDescent="0.2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</row>
    <row r="735" spans="1:52" x14ac:dyDescent="0.2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</row>
    <row r="736" spans="1:52" x14ac:dyDescent="0.2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</row>
    <row r="737" spans="1:52" x14ac:dyDescent="0.2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</row>
    <row r="738" spans="1:52" x14ac:dyDescent="0.2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</row>
    <row r="739" spans="1:52" x14ac:dyDescent="0.2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</row>
    <row r="740" spans="1:52" x14ac:dyDescent="0.2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</row>
    <row r="741" spans="1:52" x14ac:dyDescent="0.2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</row>
    <row r="742" spans="1:52" x14ac:dyDescent="0.2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</row>
    <row r="743" spans="1:52" x14ac:dyDescent="0.2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</row>
    <row r="744" spans="1:52" x14ac:dyDescent="0.2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</row>
    <row r="745" spans="1:52" x14ac:dyDescent="0.2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</row>
    <row r="746" spans="1:52" x14ac:dyDescent="0.2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</row>
    <row r="747" spans="1:52" x14ac:dyDescent="0.2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</row>
    <row r="748" spans="1:52" x14ac:dyDescent="0.2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</row>
    <row r="749" spans="1:52" x14ac:dyDescent="0.2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</row>
    <row r="750" spans="1:52" x14ac:dyDescent="0.2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</row>
    <row r="751" spans="1:52" x14ac:dyDescent="0.2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</row>
    <row r="752" spans="1:52" x14ac:dyDescent="0.2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</row>
    <row r="753" spans="1:52" x14ac:dyDescent="0.2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</row>
    <row r="754" spans="1:52" x14ac:dyDescent="0.2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</row>
    <row r="755" spans="1:52" x14ac:dyDescent="0.2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</row>
    <row r="756" spans="1:52" x14ac:dyDescent="0.2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</row>
    <row r="757" spans="1:52" x14ac:dyDescent="0.2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</row>
    <row r="758" spans="1:52" x14ac:dyDescent="0.2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</row>
    <row r="759" spans="1:52" x14ac:dyDescent="0.2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</row>
    <row r="760" spans="1:52" x14ac:dyDescent="0.2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</row>
    <row r="761" spans="1:52" x14ac:dyDescent="0.2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</row>
    <row r="762" spans="1:52" x14ac:dyDescent="0.2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</row>
    <row r="763" spans="1:52" x14ac:dyDescent="0.2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</row>
    <row r="764" spans="1:52" x14ac:dyDescent="0.2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</row>
    <row r="765" spans="1:52" x14ac:dyDescent="0.2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</row>
    <row r="766" spans="1:52" x14ac:dyDescent="0.2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</row>
    <row r="767" spans="1:52" x14ac:dyDescent="0.2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</row>
    <row r="768" spans="1:52" x14ac:dyDescent="0.2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</row>
    <row r="769" spans="1:52" x14ac:dyDescent="0.2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</row>
    <row r="770" spans="1:52" x14ac:dyDescent="0.2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</row>
    <row r="771" spans="1:52" x14ac:dyDescent="0.2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</row>
    <row r="772" spans="1:52" x14ac:dyDescent="0.2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</row>
    <row r="773" spans="1:52" x14ac:dyDescent="0.2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</row>
    <row r="774" spans="1:52" x14ac:dyDescent="0.2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</row>
    <row r="775" spans="1:52" x14ac:dyDescent="0.2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</row>
    <row r="776" spans="1:52" x14ac:dyDescent="0.2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</row>
    <row r="777" spans="1:52" x14ac:dyDescent="0.2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</row>
    <row r="778" spans="1:52" x14ac:dyDescent="0.2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</row>
    <row r="779" spans="1:52" x14ac:dyDescent="0.2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</row>
    <row r="780" spans="1:52" x14ac:dyDescent="0.2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</row>
    <row r="781" spans="1:52" x14ac:dyDescent="0.2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</row>
    <row r="782" spans="1:52" x14ac:dyDescent="0.2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</row>
    <row r="783" spans="1:52" x14ac:dyDescent="0.2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</row>
    <row r="784" spans="1:52" x14ac:dyDescent="0.2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</row>
    <row r="785" spans="1:52" x14ac:dyDescent="0.2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</row>
    <row r="786" spans="1:52" x14ac:dyDescent="0.2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</row>
    <row r="787" spans="1:52" x14ac:dyDescent="0.2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</row>
    <row r="788" spans="1:52" x14ac:dyDescent="0.2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</row>
    <row r="789" spans="1:52" x14ac:dyDescent="0.2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</row>
    <row r="790" spans="1:52" x14ac:dyDescent="0.2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</row>
    <row r="791" spans="1:52" x14ac:dyDescent="0.2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</row>
    <row r="792" spans="1:52" x14ac:dyDescent="0.2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</row>
    <row r="793" spans="1:52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</row>
    <row r="794" spans="1:52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</row>
    <row r="795" spans="1:52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</row>
    <row r="796" spans="1:52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</row>
    <row r="797" spans="1:52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</row>
    <row r="798" spans="1:52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</row>
    <row r="799" spans="1:52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</row>
    <row r="800" spans="1:52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</row>
    <row r="801" spans="1:52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</row>
    <row r="802" spans="1:52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</row>
    <row r="803" spans="1:52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</row>
    <row r="804" spans="1:52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</row>
    <row r="805" spans="1:52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</row>
    <row r="806" spans="1:52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</row>
    <row r="807" spans="1:52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</row>
    <row r="808" spans="1:52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</row>
    <row r="809" spans="1:52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</row>
    <row r="810" spans="1:52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</row>
    <row r="811" spans="1:52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</row>
    <row r="812" spans="1:52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</row>
    <row r="813" spans="1:52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</row>
    <row r="814" spans="1:52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</row>
    <row r="815" spans="1:52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</row>
    <row r="816" spans="1:52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</row>
    <row r="817" spans="1:52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</row>
    <row r="818" spans="1:52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</row>
    <row r="819" spans="1:52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</row>
    <row r="820" spans="1:52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</row>
    <row r="821" spans="1:52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</row>
    <row r="822" spans="1:52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</row>
    <row r="823" spans="1:52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</row>
    <row r="824" spans="1:52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</row>
    <row r="825" spans="1:52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</row>
    <row r="826" spans="1:52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</row>
    <row r="827" spans="1:52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</row>
    <row r="828" spans="1:52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</row>
    <row r="829" spans="1:52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</row>
    <row r="830" spans="1:52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</row>
    <row r="831" spans="1:52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</row>
    <row r="832" spans="1:52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</row>
    <row r="833" spans="1:52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</row>
    <row r="834" spans="1:52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</row>
    <row r="835" spans="1:52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</row>
    <row r="836" spans="1:52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</row>
    <row r="837" spans="1:52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</row>
    <row r="838" spans="1:52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</row>
    <row r="839" spans="1:52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</row>
    <row r="840" spans="1:52" x14ac:dyDescent="0.2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</row>
    <row r="841" spans="1:52" x14ac:dyDescent="0.2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</row>
    <row r="842" spans="1:52" x14ac:dyDescent="0.2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</row>
    <row r="843" spans="1:52" x14ac:dyDescent="0.2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</row>
    <row r="844" spans="1:52" x14ac:dyDescent="0.2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</row>
    <row r="845" spans="1:52" x14ac:dyDescent="0.2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</row>
    <row r="846" spans="1:52" x14ac:dyDescent="0.2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</row>
    <row r="847" spans="1:52" x14ac:dyDescent="0.2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</row>
    <row r="848" spans="1:52" x14ac:dyDescent="0.2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</row>
    <row r="849" spans="1:52" x14ac:dyDescent="0.2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</row>
    <row r="850" spans="1:52" x14ac:dyDescent="0.2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</row>
    <row r="851" spans="1:52" x14ac:dyDescent="0.2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</row>
    <row r="852" spans="1:52" x14ac:dyDescent="0.2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</row>
    <row r="853" spans="1:52" x14ac:dyDescent="0.2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</row>
    <row r="854" spans="1:52" x14ac:dyDescent="0.2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</row>
    <row r="855" spans="1:52" x14ac:dyDescent="0.2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</row>
    <row r="856" spans="1:52" x14ac:dyDescent="0.2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</row>
    <row r="857" spans="1:52" x14ac:dyDescent="0.2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</row>
    <row r="858" spans="1:52" x14ac:dyDescent="0.2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</row>
    <row r="859" spans="1:52" x14ac:dyDescent="0.2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</row>
    <row r="860" spans="1:52" x14ac:dyDescent="0.2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</row>
    <row r="861" spans="1:52" x14ac:dyDescent="0.2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</row>
    <row r="862" spans="1:52" x14ac:dyDescent="0.2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</row>
    <row r="863" spans="1:52" x14ac:dyDescent="0.2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</row>
    <row r="864" spans="1:52" x14ac:dyDescent="0.2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</row>
    <row r="865" spans="1:52" x14ac:dyDescent="0.2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</row>
    <row r="866" spans="1:52" x14ac:dyDescent="0.2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</row>
    <row r="867" spans="1:52" x14ac:dyDescent="0.2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</row>
    <row r="868" spans="1:52" x14ac:dyDescent="0.2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</row>
    <row r="869" spans="1:52" x14ac:dyDescent="0.2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</row>
    <row r="870" spans="1:52" x14ac:dyDescent="0.2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</row>
    <row r="871" spans="1:52" x14ac:dyDescent="0.2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</row>
    <row r="872" spans="1:52" x14ac:dyDescent="0.2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</row>
    <row r="873" spans="1:52" x14ac:dyDescent="0.2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</row>
    <row r="874" spans="1:52" x14ac:dyDescent="0.2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</row>
    <row r="875" spans="1:52" x14ac:dyDescent="0.2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</row>
    <row r="876" spans="1:52" x14ac:dyDescent="0.2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</row>
    <row r="877" spans="1:52" x14ac:dyDescent="0.2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</row>
    <row r="878" spans="1:52" x14ac:dyDescent="0.2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</row>
    <row r="879" spans="1:52" x14ac:dyDescent="0.2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</row>
    <row r="880" spans="1:52" x14ac:dyDescent="0.2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</row>
    <row r="881" spans="1:52" x14ac:dyDescent="0.2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</row>
    <row r="882" spans="1:52" x14ac:dyDescent="0.2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</row>
    <row r="883" spans="1:52" x14ac:dyDescent="0.2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</row>
    <row r="884" spans="1:52" x14ac:dyDescent="0.2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</row>
    <row r="885" spans="1:52" x14ac:dyDescent="0.2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</row>
    <row r="886" spans="1:52" x14ac:dyDescent="0.2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</row>
    <row r="887" spans="1:52" x14ac:dyDescent="0.2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</row>
    <row r="888" spans="1:52" x14ac:dyDescent="0.2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</row>
    <row r="889" spans="1:52" x14ac:dyDescent="0.2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</row>
    <row r="890" spans="1:52" x14ac:dyDescent="0.2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</row>
    <row r="891" spans="1:52" x14ac:dyDescent="0.2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</row>
    <row r="892" spans="1:52" x14ac:dyDescent="0.2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</row>
    <row r="893" spans="1:52" x14ac:dyDescent="0.2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</row>
    <row r="894" spans="1:52" x14ac:dyDescent="0.2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</row>
    <row r="895" spans="1:52" x14ac:dyDescent="0.2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</row>
    <row r="896" spans="1:52" x14ac:dyDescent="0.2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</row>
    <row r="897" spans="1:52" x14ac:dyDescent="0.2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</row>
    <row r="898" spans="1:52" x14ac:dyDescent="0.2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</row>
    <row r="899" spans="1:52" x14ac:dyDescent="0.2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</row>
    <row r="900" spans="1:52" x14ac:dyDescent="0.2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</row>
    <row r="901" spans="1:52" x14ac:dyDescent="0.2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</row>
    <row r="902" spans="1:52" x14ac:dyDescent="0.2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</row>
    <row r="903" spans="1:52" x14ac:dyDescent="0.2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</row>
    <row r="904" spans="1:52" x14ac:dyDescent="0.2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</row>
    <row r="905" spans="1:52" x14ac:dyDescent="0.2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</row>
    <row r="906" spans="1:52" x14ac:dyDescent="0.2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</row>
    <row r="907" spans="1:52" x14ac:dyDescent="0.2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</row>
    <row r="908" spans="1:52" x14ac:dyDescent="0.2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</row>
    <row r="909" spans="1:52" x14ac:dyDescent="0.2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</row>
    <row r="910" spans="1:52" x14ac:dyDescent="0.2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</row>
    <row r="911" spans="1:52" x14ac:dyDescent="0.2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</row>
    <row r="912" spans="1:52" x14ac:dyDescent="0.2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</row>
    <row r="913" spans="1:52" x14ac:dyDescent="0.2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</row>
    <row r="914" spans="1:52" x14ac:dyDescent="0.2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</row>
    <row r="915" spans="1:52" x14ac:dyDescent="0.2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</row>
    <row r="916" spans="1:52" x14ac:dyDescent="0.2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</row>
    <row r="917" spans="1:52" x14ac:dyDescent="0.2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</row>
    <row r="918" spans="1:52" x14ac:dyDescent="0.2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</row>
    <row r="919" spans="1:52" x14ac:dyDescent="0.2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</row>
    <row r="920" spans="1:52" x14ac:dyDescent="0.2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</row>
    <row r="921" spans="1:52" x14ac:dyDescent="0.2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</row>
    <row r="922" spans="1:52" x14ac:dyDescent="0.2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</row>
    <row r="923" spans="1:52" x14ac:dyDescent="0.2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</row>
    <row r="924" spans="1:52" x14ac:dyDescent="0.2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</row>
    <row r="925" spans="1:52" x14ac:dyDescent="0.2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</row>
    <row r="926" spans="1:52" x14ac:dyDescent="0.2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</row>
    <row r="927" spans="1:52" x14ac:dyDescent="0.2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</row>
    <row r="928" spans="1:52" x14ac:dyDescent="0.2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</row>
    <row r="929" spans="1:52" x14ac:dyDescent="0.2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</row>
    <row r="930" spans="1:52" x14ac:dyDescent="0.2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</row>
    <row r="931" spans="1:52" x14ac:dyDescent="0.2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</row>
    <row r="932" spans="1:52" x14ac:dyDescent="0.2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</row>
    <row r="933" spans="1:52" x14ac:dyDescent="0.2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</row>
    <row r="934" spans="1:52" x14ac:dyDescent="0.2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</row>
    <row r="935" spans="1:52" x14ac:dyDescent="0.2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</row>
    <row r="936" spans="1:52" x14ac:dyDescent="0.2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</row>
    <row r="937" spans="1:52" x14ac:dyDescent="0.2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</row>
    <row r="938" spans="1:52" x14ac:dyDescent="0.2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</row>
    <row r="939" spans="1:52" x14ac:dyDescent="0.2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</row>
    <row r="940" spans="1:52" x14ac:dyDescent="0.2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</row>
    <row r="941" spans="1:52" x14ac:dyDescent="0.2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</row>
    <row r="942" spans="1:52" x14ac:dyDescent="0.2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</row>
    <row r="943" spans="1:52" x14ac:dyDescent="0.2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</row>
    <row r="944" spans="1:52" x14ac:dyDescent="0.2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</row>
    <row r="945" spans="1:52" x14ac:dyDescent="0.2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</row>
    <row r="946" spans="1:52" x14ac:dyDescent="0.2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</row>
    <row r="947" spans="1:52" x14ac:dyDescent="0.2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</row>
    <row r="948" spans="1:52" x14ac:dyDescent="0.2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</row>
    <row r="949" spans="1:52" x14ac:dyDescent="0.2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</row>
    <row r="950" spans="1:52" x14ac:dyDescent="0.2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</row>
    <row r="951" spans="1:52" x14ac:dyDescent="0.2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</row>
    <row r="952" spans="1:52" x14ac:dyDescent="0.2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</row>
    <row r="953" spans="1:52" x14ac:dyDescent="0.2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</row>
    <row r="954" spans="1:52" x14ac:dyDescent="0.2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</row>
    <row r="955" spans="1:52" x14ac:dyDescent="0.2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</row>
    <row r="956" spans="1:52" x14ac:dyDescent="0.2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</row>
    <row r="957" spans="1:52" x14ac:dyDescent="0.2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</row>
    <row r="958" spans="1:52" x14ac:dyDescent="0.2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</row>
    <row r="959" spans="1:52" x14ac:dyDescent="0.2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</row>
    <row r="960" spans="1:52" x14ac:dyDescent="0.2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</row>
    <row r="961" spans="1:52" x14ac:dyDescent="0.2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</row>
    <row r="962" spans="1:52" x14ac:dyDescent="0.2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</row>
    <row r="963" spans="1:52" x14ac:dyDescent="0.2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</row>
    <row r="964" spans="1:52" x14ac:dyDescent="0.2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</row>
    <row r="965" spans="1:52" x14ac:dyDescent="0.2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</row>
    <row r="966" spans="1:52" x14ac:dyDescent="0.2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</row>
    <row r="967" spans="1:52" x14ac:dyDescent="0.2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</row>
    <row r="968" spans="1:52" x14ac:dyDescent="0.2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</row>
    <row r="969" spans="1:52" x14ac:dyDescent="0.2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</row>
    <row r="970" spans="1:52" x14ac:dyDescent="0.2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</row>
    <row r="971" spans="1:52" x14ac:dyDescent="0.2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</row>
    <row r="972" spans="1:52" x14ac:dyDescent="0.2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</row>
    <row r="973" spans="1:52" x14ac:dyDescent="0.2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</row>
    <row r="974" spans="1:52" x14ac:dyDescent="0.2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</row>
    <row r="975" spans="1:52" x14ac:dyDescent="0.2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</row>
    <row r="976" spans="1:52" x14ac:dyDescent="0.2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</row>
    <row r="977" spans="1:52" x14ac:dyDescent="0.2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</row>
    <row r="978" spans="1:52" x14ac:dyDescent="0.2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</row>
    <row r="979" spans="1:52" x14ac:dyDescent="0.2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</row>
    <row r="980" spans="1:52" x14ac:dyDescent="0.2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</row>
    <row r="981" spans="1:52" x14ac:dyDescent="0.2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</row>
    <row r="982" spans="1:52" x14ac:dyDescent="0.2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</row>
    <row r="983" spans="1:52" x14ac:dyDescent="0.2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</row>
    <row r="984" spans="1:52" x14ac:dyDescent="0.2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</row>
    <row r="985" spans="1:52" x14ac:dyDescent="0.2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</row>
    <row r="986" spans="1:52" x14ac:dyDescent="0.2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</row>
    <row r="987" spans="1:52" x14ac:dyDescent="0.2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</row>
    <row r="988" spans="1:52" x14ac:dyDescent="0.2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</row>
    <row r="989" spans="1:52" x14ac:dyDescent="0.2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</row>
    <row r="990" spans="1:52" x14ac:dyDescent="0.2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</row>
    <row r="991" spans="1:52" x14ac:dyDescent="0.2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</row>
    <row r="992" spans="1:52" x14ac:dyDescent="0.2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</row>
    <row r="993" spans="1:52" x14ac:dyDescent="0.2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</row>
    <row r="994" spans="1:52" x14ac:dyDescent="0.2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</row>
    <row r="995" spans="1:52" x14ac:dyDescent="0.2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</row>
    <row r="996" spans="1:52" x14ac:dyDescent="0.2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</row>
    <row r="997" spans="1:52" x14ac:dyDescent="0.2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</row>
    <row r="998" spans="1:52" x14ac:dyDescent="0.2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</row>
    <row r="999" spans="1:52" x14ac:dyDescent="0.2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</row>
    <row r="1000" spans="1:52" x14ac:dyDescent="0.2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</row>
  </sheetData>
  <mergeCells count="389">
    <mergeCell ref="AB74:AC74"/>
    <mergeCell ref="AD74:AF74"/>
    <mergeCell ref="AG74:AJ74"/>
    <mergeCell ref="AK74:AM74"/>
    <mergeCell ref="AN74:AO74"/>
    <mergeCell ref="AP74:AR74"/>
    <mergeCell ref="AS74:AT74"/>
    <mergeCell ref="AB75:AC75"/>
    <mergeCell ref="AD75:AF75"/>
    <mergeCell ref="AG75:AI75"/>
    <mergeCell ref="B74:F74"/>
    <mergeCell ref="G74:H74"/>
    <mergeCell ref="I74:J74"/>
    <mergeCell ref="K74:L74"/>
    <mergeCell ref="M74:N74"/>
    <mergeCell ref="O74:P74"/>
    <mergeCell ref="U74:V74"/>
    <mergeCell ref="X74:Y74"/>
    <mergeCell ref="Z74:AA74"/>
    <mergeCell ref="AB72:AC72"/>
    <mergeCell ref="AD72:AF72"/>
    <mergeCell ref="AG72:AJ72"/>
    <mergeCell ref="AK72:AM72"/>
    <mergeCell ref="AN72:AO72"/>
    <mergeCell ref="AP72:AR72"/>
    <mergeCell ref="AS72:AT72"/>
    <mergeCell ref="B73:F73"/>
    <mergeCell ref="G73:H73"/>
    <mergeCell ref="I73:J73"/>
    <mergeCell ref="K73:L73"/>
    <mergeCell ref="M73:N73"/>
    <mergeCell ref="O73:P73"/>
    <mergeCell ref="U73:V73"/>
    <mergeCell ref="X73:Y73"/>
    <mergeCell ref="Z73:AA73"/>
    <mergeCell ref="AB73:AC73"/>
    <mergeCell ref="AD73:AF73"/>
    <mergeCell ref="AG73:AJ73"/>
    <mergeCell ref="AK73:AM73"/>
    <mergeCell ref="AN73:AO73"/>
    <mergeCell ref="AP73:AR73"/>
    <mergeCell ref="AS73:AT73"/>
    <mergeCell ref="B72:F72"/>
    <mergeCell ref="G72:H72"/>
    <mergeCell ref="I72:J72"/>
    <mergeCell ref="K72:L72"/>
    <mergeCell ref="M72:N72"/>
    <mergeCell ref="O72:P72"/>
    <mergeCell ref="U72:V72"/>
    <mergeCell ref="X72:Y72"/>
    <mergeCell ref="Z72:AA72"/>
    <mergeCell ref="O71:P71"/>
    <mergeCell ref="U71:V71"/>
    <mergeCell ref="X71:Y71"/>
    <mergeCell ref="Z71:AA71"/>
    <mergeCell ref="AG71:AJ71"/>
    <mergeCell ref="AK71:AM71"/>
    <mergeCell ref="AN71:AO71"/>
    <mergeCell ref="AP71:AR71"/>
    <mergeCell ref="AS71:AT71"/>
    <mergeCell ref="AS54:AT54"/>
    <mergeCell ref="AB55:AC55"/>
    <mergeCell ref="AD55:AF55"/>
    <mergeCell ref="AD53:AF53"/>
    <mergeCell ref="AG53:AJ53"/>
    <mergeCell ref="AK53:AM53"/>
    <mergeCell ref="AN53:AO53"/>
    <mergeCell ref="AP53:AR53"/>
    <mergeCell ref="AS53:AT53"/>
    <mergeCell ref="AD54:AF54"/>
    <mergeCell ref="AG54:AJ54"/>
    <mergeCell ref="AK54:AM54"/>
    <mergeCell ref="AN54:AO54"/>
    <mergeCell ref="AP54:AR54"/>
    <mergeCell ref="AK55:AM55"/>
    <mergeCell ref="AN55:AO55"/>
    <mergeCell ref="AP55:AR55"/>
    <mergeCell ref="AS55:AT55"/>
    <mergeCell ref="O54:P54"/>
    <mergeCell ref="U54:V54"/>
    <mergeCell ref="X54:Y54"/>
    <mergeCell ref="Z54:AA54"/>
    <mergeCell ref="AB54:AC54"/>
    <mergeCell ref="B54:F54"/>
    <mergeCell ref="G54:H54"/>
    <mergeCell ref="I54:J54"/>
    <mergeCell ref="K54:L54"/>
    <mergeCell ref="M54:N54"/>
    <mergeCell ref="AK52:AM52"/>
    <mergeCell ref="B52:F52"/>
    <mergeCell ref="G52:H52"/>
    <mergeCell ref="I52:J52"/>
    <mergeCell ref="K52:N52"/>
    <mergeCell ref="O52:P52"/>
    <mergeCell ref="AG52:AJ52"/>
    <mergeCell ref="S52:T52"/>
    <mergeCell ref="U52:V52"/>
    <mergeCell ref="X52:Y52"/>
    <mergeCell ref="Z52:AA52"/>
    <mergeCell ref="AB52:AC52"/>
    <mergeCell ref="AD52:AF52"/>
    <mergeCell ref="Q52:R52"/>
    <mergeCell ref="Z53:AA53"/>
    <mergeCell ref="AB53:AC53"/>
    <mergeCell ref="B53:F53"/>
    <mergeCell ref="G53:H53"/>
    <mergeCell ref="I53:J53"/>
    <mergeCell ref="K53:L53"/>
    <mergeCell ref="M53:N53"/>
    <mergeCell ref="O53:P53"/>
    <mergeCell ref="U53:V53"/>
    <mergeCell ref="X53:Y53"/>
    <mergeCell ref="B51:D51"/>
    <mergeCell ref="L51:O51"/>
    <mergeCell ref="Q51:U51"/>
    <mergeCell ref="AB19:AB24"/>
    <mergeCell ref="AD19:AD24"/>
    <mergeCell ref="AB25:AB30"/>
    <mergeCell ref="AD25:AD30"/>
    <mergeCell ref="AB31:AB36"/>
    <mergeCell ref="AD31:AD36"/>
    <mergeCell ref="AB43:AB48"/>
    <mergeCell ref="AD43:AD48"/>
    <mergeCell ref="A1:A2"/>
    <mergeCell ref="C1:D2"/>
    <mergeCell ref="E1:G2"/>
    <mergeCell ref="AB7:AB12"/>
    <mergeCell ref="AD7:AD12"/>
    <mergeCell ref="AB13:AB18"/>
    <mergeCell ref="AD13:AD18"/>
    <mergeCell ref="AB37:AB42"/>
    <mergeCell ref="AD37:AD42"/>
    <mergeCell ref="O55:P55"/>
    <mergeCell ref="U55:V55"/>
    <mergeCell ref="X55:Y55"/>
    <mergeCell ref="Z55:AA55"/>
    <mergeCell ref="AG55:AJ55"/>
    <mergeCell ref="B56:F56"/>
    <mergeCell ref="G56:H56"/>
    <mergeCell ref="I56:J56"/>
    <mergeCell ref="K56:L56"/>
    <mergeCell ref="M56:N56"/>
    <mergeCell ref="O56:P56"/>
    <mergeCell ref="U56:V56"/>
    <mergeCell ref="X56:Y56"/>
    <mergeCell ref="Z56:AA56"/>
    <mergeCell ref="K55:L55"/>
    <mergeCell ref="M55:N55"/>
    <mergeCell ref="B55:F55"/>
    <mergeCell ref="G55:H55"/>
    <mergeCell ref="I55:J55"/>
    <mergeCell ref="AN56:AO56"/>
    <mergeCell ref="AP56:AR56"/>
    <mergeCell ref="AS56:AT56"/>
    <mergeCell ref="B57:F57"/>
    <mergeCell ref="G57:H57"/>
    <mergeCell ref="I57:J57"/>
    <mergeCell ref="K57:L57"/>
    <mergeCell ref="M57:N57"/>
    <mergeCell ref="O57:P57"/>
    <mergeCell ref="U57:V57"/>
    <mergeCell ref="X57:Y57"/>
    <mergeCell ref="Z57:AA57"/>
    <mergeCell ref="AB57:AC57"/>
    <mergeCell ref="AD57:AF57"/>
    <mergeCell ref="AG57:AJ57"/>
    <mergeCell ref="AK57:AM57"/>
    <mergeCell ref="AN57:AO57"/>
    <mergeCell ref="AP57:AR57"/>
    <mergeCell ref="AS57:AT57"/>
    <mergeCell ref="AB56:AC56"/>
    <mergeCell ref="AD56:AF56"/>
    <mergeCell ref="AG56:AJ56"/>
    <mergeCell ref="AK56:AM56"/>
    <mergeCell ref="AD58:AF58"/>
    <mergeCell ref="AG58:AJ58"/>
    <mergeCell ref="AK58:AM58"/>
    <mergeCell ref="AN58:AO58"/>
    <mergeCell ref="AP58:AR58"/>
    <mergeCell ref="AS58:AT58"/>
    <mergeCell ref="B59:F59"/>
    <mergeCell ref="G59:H59"/>
    <mergeCell ref="I59:J59"/>
    <mergeCell ref="K59:L59"/>
    <mergeCell ref="M59:N59"/>
    <mergeCell ref="O59:P59"/>
    <mergeCell ref="U59:V59"/>
    <mergeCell ref="X59:Y59"/>
    <mergeCell ref="Z59:AA59"/>
    <mergeCell ref="AB59:AC59"/>
    <mergeCell ref="AD59:AF59"/>
    <mergeCell ref="AG59:AJ59"/>
    <mergeCell ref="AK59:AM59"/>
    <mergeCell ref="AN59:AO59"/>
    <mergeCell ref="AP59:AR59"/>
    <mergeCell ref="AS59:AT59"/>
    <mergeCell ref="B58:F58"/>
    <mergeCell ref="G58:H58"/>
    <mergeCell ref="I60:J60"/>
    <mergeCell ref="K60:L60"/>
    <mergeCell ref="M60:N60"/>
    <mergeCell ref="O60:P60"/>
    <mergeCell ref="U60:V60"/>
    <mergeCell ref="X60:Y60"/>
    <mergeCell ref="Z60:AA60"/>
    <mergeCell ref="AB58:AC58"/>
    <mergeCell ref="I58:J58"/>
    <mergeCell ref="K58:L58"/>
    <mergeCell ref="M58:N58"/>
    <mergeCell ref="O58:P58"/>
    <mergeCell ref="U58:V58"/>
    <mergeCell ref="X58:Y58"/>
    <mergeCell ref="Z58:AA58"/>
    <mergeCell ref="AB60:AC60"/>
    <mergeCell ref="AD60:AF60"/>
    <mergeCell ref="AG60:AJ60"/>
    <mergeCell ref="AK60:AM60"/>
    <mergeCell ref="AN60:AO60"/>
    <mergeCell ref="AP60:AR60"/>
    <mergeCell ref="AS60:AT60"/>
    <mergeCell ref="B61:F61"/>
    <mergeCell ref="G61:H61"/>
    <mergeCell ref="I61:J61"/>
    <mergeCell ref="K61:L61"/>
    <mergeCell ref="M61:N61"/>
    <mergeCell ref="O61:P61"/>
    <mergeCell ref="U61:V61"/>
    <mergeCell ref="X61:Y61"/>
    <mergeCell ref="Z61:AA61"/>
    <mergeCell ref="AB61:AC61"/>
    <mergeCell ref="AD61:AF61"/>
    <mergeCell ref="AG61:AJ61"/>
    <mergeCell ref="AK61:AM61"/>
    <mergeCell ref="AN61:AO61"/>
    <mergeCell ref="AP61:AR61"/>
    <mergeCell ref="AS61:AT61"/>
    <mergeCell ref="B60:F60"/>
    <mergeCell ref="G60:H60"/>
    <mergeCell ref="AD62:AF62"/>
    <mergeCell ref="AG62:AJ62"/>
    <mergeCell ref="AK62:AM62"/>
    <mergeCell ref="AN62:AO62"/>
    <mergeCell ref="AP62:AR62"/>
    <mergeCell ref="AS62:AT62"/>
    <mergeCell ref="B63:F63"/>
    <mergeCell ref="G63:H63"/>
    <mergeCell ref="I63:J63"/>
    <mergeCell ref="K63:L63"/>
    <mergeCell ref="M63:N63"/>
    <mergeCell ref="O63:P63"/>
    <mergeCell ref="U63:V63"/>
    <mergeCell ref="X63:Y63"/>
    <mergeCell ref="Z63:AA63"/>
    <mergeCell ref="AB63:AC63"/>
    <mergeCell ref="AD63:AF63"/>
    <mergeCell ref="AG63:AJ63"/>
    <mergeCell ref="AK63:AM63"/>
    <mergeCell ref="AN63:AO63"/>
    <mergeCell ref="AP63:AR63"/>
    <mergeCell ref="AS63:AT63"/>
    <mergeCell ref="B62:F62"/>
    <mergeCell ref="G62:H62"/>
    <mergeCell ref="I64:J64"/>
    <mergeCell ref="K64:L64"/>
    <mergeCell ref="M64:N64"/>
    <mergeCell ref="O64:P64"/>
    <mergeCell ref="U64:V64"/>
    <mergeCell ref="X64:Y64"/>
    <mergeCell ref="Z64:AA64"/>
    <mergeCell ref="AB62:AC62"/>
    <mergeCell ref="I62:J62"/>
    <mergeCell ref="K62:L62"/>
    <mergeCell ref="M62:N62"/>
    <mergeCell ref="O62:P62"/>
    <mergeCell ref="U62:V62"/>
    <mergeCell ref="X62:Y62"/>
    <mergeCell ref="Z62:AA62"/>
    <mergeCell ref="AB64:AC64"/>
    <mergeCell ref="AD64:AF64"/>
    <mergeCell ref="AG64:AJ64"/>
    <mergeCell ref="AK64:AM64"/>
    <mergeCell ref="AN64:AO64"/>
    <mergeCell ref="AP64:AR64"/>
    <mergeCell ref="AS64:AT64"/>
    <mergeCell ref="B65:F65"/>
    <mergeCell ref="G65:H65"/>
    <mergeCell ref="I65:J65"/>
    <mergeCell ref="K65:L65"/>
    <mergeCell ref="M65:N65"/>
    <mergeCell ref="O65:P65"/>
    <mergeCell ref="U65:V65"/>
    <mergeCell ref="X65:Y65"/>
    <mergeCell ref="Z65:AA65"/>
    <mergeCell ref="AB65:AC65"/>
    <mergeCell ref="AD65:AF65"/>
    <mergeCell ref="AG65:AJ65"/>
    <mergeCell ref="AK65:AM65"/>
    <mergeCell ref="AN65:AO65"/>
    <mergeCell ref="AP65:AR65"/>
    <mergeCell ref="AS65:AT65"/>
    <mergeCell ref="B64:F64"/>
    <mergeCell ref="G64:H64"/>
    <mergeCell ref="AD66:AF66"/>
    <mergeCell ref="AG66:AJ66"/>
    <mergeCell ref="AK66:AM66"/>
    <mergeCell ref="AN66:AO66"/>
    <mergeCell ref="AP66:AR66"/>
    <mergeCell ref="AS66:AT66"/>
    <mergeCell ref="B67:F67"/>
    <mergeCell ref="G67:H67"/>
    <mergeCell ref="I67:J67"/>
    <mergeCell ref="K67:L67"/>
    <mergeCell ref="M67:N67"/>
    <mergeCell ref="O67:P67"/>
    <mergeCell ref="U67:V67"/>
    <mergeCell ref="X67:Y67"/>
    <mergeCell ref="Z67:AA67"/>
    <mergeCell ref="AB67:AC67"/>
    <mergeCell ref="AD67:AF67"/>
    <mergeCell ref="AG67:AJ67"/>
    <mergeCell ref="AK67:AM67"/>
    <mergeCell ref="AN67:AO67"/>
    <mergeCell ref="AP67:AR67"/>
    <mergeCell ref="AS67:AT67"/>
    <mergeCell ref="B66:F66"/>
    <mergeCell ref="G66:H66"/>
    <mergeCell ref="I68:J68"/>
    <mergeCell ref="K68:L68"/>
    <mergeCell ref="M68:N68"/>
    <mergeCell ref="O68:P68"/>
    <mergeCell ref="U68:V68"/>
    <mergeCell ref="X68:Y68"/>
    <mergeCell ref="Z68:AA68"/>
    <mergeCell ref="AB66:AC66"/>
    <mergeCell ref="I66:J66"/>
    <mergeCell ref="K66:L66"/>
    <mergeCell ref="M66:N66"/>
    <mergeCell ref="O66:P66"/>
    <mergeCell ref="U66:V66"/>
    <mergeCell ref="X66:Y66"/>
    <mergeCell ref="Z66:AA66"/>
    <mergeCell ref="AB68:AC68"/>
    <mergeCell ref="AD68:AF68"/>
    <mergeCell ref="AG68:AJ68"/>
    <mergeCell ref="AK68:AM68"/>
    <mergeCell ref="AN68:AO68"/>
    <mergeCell ref="AP68:AR68"/>
    <mergeCell ref="AS68:AT68"/>
    <mergeCell ref="B69:F69"/>
    <mergeCell ref="G69:H69"/>
    <mergeCell ref="I69:J69"/>
    <mergeCell ref="K69:L69"/>
    <mergeCell ref="M69:N69"/>
    <mergeCell ref="O69:P69"/>
    <mergeCell ref="U69:V69"/>
    <mergeCell ref="X69:Y69"/>
    <mergeCell ref="Z69:AA69"/>
    <mergeCell ref="AB69:AC69"/>
    <mergeCell ref="AD69:AF69"/>
    <mergeCell ref="AG69:AJ69"/>
    <mergeCell ref="AK69:AM69"/>
    <mergeCell ref="AN69:AO69"/>
    <mergeCell ref="AP69:AR69"/>
    <mergeCell ref="AS69:AT69"/>
    <mergeCell ref="B68:F68"/>
    <mergeCell ref="G68:H68"/>
    <mergeCell ref="AN70:AO70"/>
    <mergeCell ref="AP70:AR70"/>
    <mergeCell ref="AS70:AT70"/>
    <mergeCell ref="AB71:AC71"/>
    <mergeCell ref="AD71:AF71"/>
    <mergeCell ref="B70:F70"/>
    <mergeCell ref="G70:H70"/>
    <mergeCell ref="I70:J70"/>
    <mergeCell ref="K70:L70"/>
    <mergeCell ref="M70:N70"/>
    <mergeCell ref="AB70:AC70"/>
    <mergeCell ref="AD70:AF70"/>
    <mergeCell ref="AG70:AJ70"/>
    <mergeCell ref="AK70:AM70"/>
    <mergeCell ref="O70:P70"/>
    <mergeCell ref="U70:V70"/>
    <mergeCell ref="X70:Y70"/>
    <mergeCell ref="Z70:AA70"/>
    <mergeCell ref="B71:F71"/>
    <mergeCell ref="G71:H71"/>
    <mergeCell ref="I71:J71"/>
    <mergeCell ref="K71:L71"/>
    <mergeCell ref="M71:N71"/>
  </mergeCells>
  <printOptions horizontalCentered="1" verticalCentered="1"/>
  <pageMargins left="0.15" right="0.15" top="0.25" bottom="0.15" header="0.15" footer="0.15"/>
  <pageSetup paperSize="9" scale="4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9169" r:id="rId4" name="Button 1">
              <controlPr defaultSize="0" print="0" autoFill="0" autoPict="0" macro="[0]!main">
                <anchor moveWithCells="1" sizeWithCells="1">
                  <from>
                    <xdr:col>36</xdr:col>
                    <xdr:colOff>104775</xdr:colOff>
                    <xdr:row>0</xdr:row>
                    <xdr:rowOff>66675</xdr:rowOff>
                  </from>
                  <to>
                    <xdr:col>39</xdr:col>
                    <xdr:colOff>28575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70" r:id="rId5" name="Button 2">
              <controlPr defaultSize="0" print="0" autoFill="0" autoPict="0" macro="[0]!clearVesselBackGroundColor">
                <anchor moveWithCells="1" sizeWithCells="1">
                  <from>
                    <xdr:col>39</xdr:col>
                    <xdr:colOff>38100</xdr:colOff>
                    <xdr:row>0</xdr:row>
                    <xdr:rowOff>57150</xdr:rowOff>
                  </from>
                  <to>
                    <xdr:col>41</xdr:col>
                    <xdr:colOff>219075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71" r:id="rId6" name="Button 3">
              <controlPr defaultSize="0" print="0" autoFill="0" autoPict="0" macro="[0]!setVesselBackGroundColor">
                <anchor moveWithCells="1" sizeWithCells="1">
                  <from>
                    <xdr:col>41</xdr:col>
                    <xdr:colOff>257175</xdr:colOff>
                    <xdr:row>0</xdr:row>
                    <xdr:rowOff>57150</xdr:rowOff>
                  </from>
                  <to>
                    <xdr:col>43</xdr:col>
                    <xdr:colOff>361950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Z500"/>
  <sheetViews>
    <sheetView zoomScale="70" zoomScaleNormal="70" workbookViewId="0">
      <pane ySplit="6" topLeftCell="A7" activePane="bottomLeft" state="frozen"/>
      <selection pane="bottomLeft" activeCell="I18" sqref="I18"/>
    </sheetView>
  </sheetViews>
  <sheetFormatPr defaultRowHeight="12.75" x14ac:dyDescent="0.2"/>
  <cols>
    <col min="1" max="1" width="12.42578125" customWidth="1"/>
    <col min="2" max="9" width="5.7109375" customWidth="1"/>
    <col min="10" max="10" width="7" customWidth="1"/>
    <col min="11" max="26" width="5.7109375" customWidth="1"/>
    <col min="27" max="27" width="6.5703125" style="18" customWidth="1"/>
    <col min="28" max="28" width="11.42578125" style="115" bestFit="1" customWidth="1"/>
    <col min="29" max="29" width="5.7109375" style="115" customWidth="1"/>
    <col min="30" max="43" width="5.7109375" customWidth="1"/>
    <col min="44" max="50" width="6" customWidth="1"/>
    <col min="51" max="55" width="10.28515625" customWidth="1"/>
    <col min="56" max="56" width="18.42578125" customWidth="1"/>
    <col min="57" max="58" width="19.85546875" customWidth="1"/>
  </cols>
  <sheetData>
    <row r="1" spans="1:78" ht="12.75" customHeight="1" x14ac:dyDescent="0.4">
      <c r="A1" s="299" t="s">
        <v>43</v>
      </c>
      <c r="B1" s="103"/>
      <c r="C1" s="291">
        <v>2017</v>
      </c>
      <c r="D1" s="292"/>
      <c r="E1" s="295">
        <v>2017</v>
      </c>
      <c r="F1" s="296"/>
      <c r="G1" s="116"/>
      <c r="H1" s="120"/>
    </row>
    <row r="2" spans="1:78" ht="12.75" customHeight="1" thickBot="1" x14ac:dyDescent="0.45">
      <c r="A2" s="300"/>
      <c r="B2" s="104"/>
      <c r="C2" s="293"/>
      <c r="D2" s="294"/>
      <c r="E2" s="297"/>
      <c r="F2" s="298"/>
      <c r="G2" s="117"/>
      <c r="H2" s="120"/>
    </row>
    <row r="3" spans="1:78" ht="27" customHeight="1" x14ac:dyDescent="0.4">
      <c r="A3" s="307" t="s">
        <v>42</v>
      </c>
      <c r="B3" s="307"/>
      <c r="C3" s="118">
        <v>8</v>
      </c>
      <c r="D3" s="118">
        <v>12</v>
      </c>
      <c r="E3" s="119">
        <v>8</v>
      </c>
      <c r="F3" s="119">
        <v>13</v>
      </c>
      <c r="G3" s="308"/>
      <c r="H3" s="309"/>
      <c r="I3" s="309"/>
      <c r="J3" s="309"/>
      <c r="K3" s="309"/>
      <c r="L3" s="309"/>
      <c r="M3" s="309"/>
      <c r="N3" s="309"/>
      <c r="O3" s="309"/>
      <c r="P3" s="309"/>
      <c r="Q3" s="309"/>
    </row>
    <row r="4" spans="1:78" s="2" customFormat="1" ht="19.5" customHeight="1" x14ac:dyDescent="0.2">
      <c r="A4" s="16" t="s">
        <v>18</v>
      </c>
      <c r="B4" s="16">
        <v>410</v>
      </c>
      <c r="C4" s="16">
        <v>385</v>
      </c>
      <c r="D4" s="16">
        <v>360</v>
      </c>
      <c r="E4" s="11">
        <v>360</v>
      </c>
      <c r="F4" s="11">
        <v>310</v>
      </c>
      <c r="G4" s="11">
        <v>285</v>
      </c>
      <c r="H4" s="11">
        <f>F4-50</f>
        <v>260</v>
      </c>
      <c r="I4" s="11">
        <v>235</v>
      </c>
      <c r="J4" s="11">
        <v>210</v>
      </c>
      <c r="K4" s="11">
        <v>185</v>
      </c>
      <c r="L4" s="11">
        <v>160</v>
      </c>
      <c r="M4" s="11">
        <v>135</v>
      </c>
      <c r="N4" s="11">
        <v>110</v>
      </c>
      <c r="O4" s="11">
        <v>85</v>
      </c>
      <c r="P4" s="11">
        <v>60</v>
      </c>
      <c r="Q4" s="11">
        <v>55</v>
      </c>
      <c r="R4" s="11">
        <v>50</v>
      </c>
      <c r="S4" s="11">
        <v>0</v>
      </c>
      <c r="T4" s="12">
        <v>190</v>
      </c>
      <c r="U4" s="13">
        <v>150</v>
      </c>
      <c r="V4" s="13">
        <v>125</v>
      </c>
      <c r="W4" s="13">
        <v>100</v>
      </c>
      <c r="X4" s="13">
        <v>75</v>
      </c>
      <c r="Y4" s="13">
        <v>50</v>
      </c>
      <c r="Z4" s="13">
        <v>25</v>
      </c>
      <c r="AA4" s="13">
        <v>0</v>
      </c>
      <c r="AB4" s="17" t="s">
        <v>0</v>
      </c>
      <c r="AC4" s="14" t="s">
        <v>1</v>
      </c>
      <c r="AD4" s="14" t="s">
        <v>2</v>
      </c>
      <c r="AE4" s="15">
        <v>400</v>
      </c>
      <c r="AF4" s="13">
        <v>375</v>
      </c>
      <c r="AG4" s="15">
        <v>350</v>
      </c>
      <c r="AH4" s="15">
        <v>325</v>
      </c>
      <c r="AI4" s="15">
        <v>300</v>
      </c>
      <c r="AJ4" s="15">
        <v>275</v>
      </c>
      <c r="AK4" s="15">
        <v>250</v>
      </c>
      <c r="AL4" s="15">
        <v>225</v>
      </c>
      <c r="AM4" s="15">
        <v>200</v>
      </c>
      <c r="AN4" s="15">
        <v>190</v>
      </c>
      <c r="AO4" s="15">
        <v>175</v>
      </c>
      <c r="AP4" s="15">
        <v>160</v>
      </c>
      <c r="AQ4" s="15">
        <v>150</v>
      </c>
      <c r="AR4" s="15">
        <v>125</v>
      </c>
      <c r="AS4" s="15">
        <v>100</v>
      </c>
      <c r="AT4" s="13">
        <v>75</v>
      </c>
      <c r="AU4" s="14">
        <v>50</v>
      </c>
      <c r="AV4" s="13">
        <v>0</v>
      </c>
      <c r="AW4" s="19"/>
      <c r="AX4" s="9"/>
      <c r="AY4" s="9"/>
    </row>
    <row r="5" spans="1:78" s="2" customFormat="1" ht="20.100000000000001" customHeight="1" x14ac:dyDescent="0.2">
      <c r="A5" s="16" t="s">
        <v>3</v>
      </c>
      <c r="B5" s="16">
        <v>600</v>
      </c>
      <c r="C5" s="16"/>
      <c r="D5" s="16">
        <v>550</v>
      </c>
      <c r="E5" s="11"/>
      <c r="F5" s="11">
        <v>500</v>
      </c>
      <c r="G5" s="11"/>
      <c r="H5" s="11">
        <v>450</v>
      </c>
      <c r="I5" s="11"/>
      <c r="J5" s="11">
        <v>400</v>
      </c>
      <c r="K5" s="11"/>
      <c r="L5" s="11">
        <v>350</v>
      </c>
      <c r="M5" s="11"/>
      <c r="N5" s="11">
        <v>300</v>
      </c>
      <c r="O5" s="11"/>
      <c r="P5" s="11">
        <v>250</v>
      </c>
      <c r="Q5" s="11">
        <v>245</v>
      </c>
      <c r="R5" s="11">
        <v>240</v>
      </c>
      <c r="S5" s="11">
        <v>190</v>
      </c>
      <c r="T5" s="13"/>
      <c r="U5" s="13">
        <v>150</v>
      </c>
      <c r="V5" s="13"/>
      <c r="W5" s="13">
        <v>100</v>
      </c>
      <c r="X5" s="13"/>
      <c r="Y5" s="13">
        <v>50</v>
      </c>
      <c r="Z5" s="13"/>
      <c r="AA5" s="13">
        <v>0</v>
      </c>
      <c r="AB5" s="17" t="s">
        <v>0</v>
      </c>
      <c r="AC5" s="14" t="s">
        <v>1</v>
      </c>
      <c r="AD5" s="14" t="s">
        <v>2</v>
      </c>
      <c r="AE5" s="15">
        <v>400</v>
      </c>
      <c r="AF5" s="13"/>
      <c r="AG5" s="15">
        <v>350</v>
      </c>
      <c r="AH5" s="15"/>
      <c r="AI5" s="15">
        <v>300</v>
      </c>
      <c r="AJ5" s="15"/>
      <c r="AK5" s="15">
        <v>250</v>
      </c>
      <c r="AL5" s="15"/>
      <c r="AM5" s="15">
        <v>200</v>
      </c>
      <c r="AN5" s="15"/>
      <c r="AO5" s="15">
        <v>175</v>
      </c>
      <c r="AP5" s="15"/>
      <c r="AQ5" s="15">
        <v>150</v>
      </c>
      <c r="AR5" s="15"/>
      <c r="AS5" s="15">
        <v>100</v>
      </c>
      <c r="AT5" s="13"/>
      <c r="AU5" s="14">
        <v>50</v>
      </c>
      <c r="AV5" s="13">
        <v>0</v>
      </c>
      <c r="AW5" s="20"/>
      <c r="AX5" s="9"/>
      <c r="AY5" s="9"/>
    </row>
    <row r="6" spans="1:78" s="4" customFormat="1" ht="20.100000000000001" customHeight="1" thickBot="1" x14ac:dyDescent="0.25">
      <c r="A6" s="3"/>
      <c r="B6" s="10">
        <v>591</v>
      </c>
      <c r="C6" s="30">
        <v>569</v>
      </c>
      <c r="D6" s="10">
        <v>543</v>
      </c>
      <c r="E6" s="37">
        <v>520</v>
      </c>
      <c r="F6" s="37">
        <v>496</v>
      </c>
      <c r="G6" s="37">
        <v>472</v>
      </c>
      <c r="H6" s="37">
        <v>448</v>
      </c>
      <c r="I6" s="37">
        <v>423</v>
      </c>
      <c r="J6" s="37">
        <v>400</v>
      </c>
      <c r="K6" s="37">
        <v>375</v>
      </c>
      <c r="L6" s="37">
        <v>350</v>
      </c>
      <c r="M6" s="37">
        <v>327</v>
      </c>
      <c r="N6" s="37">
        <v>303</v>
      </c>
      <c r="O6" s="37">
        <v>280</v>
      </c>
      <c r="P6" s="37">
        <v>250</v>
      </c>
      <c r="Q6" s="37">
        <v>224</v>
      </c>
      <c r="R6" s="37">
        <v>213</v>
      </c>
      <c r="S6" s="37">
        <v>190</v>
      </c>
      <c r="T6" s="37">
        <v>169</v>
      </c>
      <c r="U6" s="37">
        <v>146</v>
      </c>
      <c r="V6" s="37">
        <v>126</v>
      </c>
      <c r="W6" s="37">
        <v>104</v>
      </c>
      <c r="X6" s="37">
        <v>84</v>
      </c>
      <c r="Y6" s="37">
        <v>62</v>
      </c>
      <c r="Z6" s="37">
        <v>40</v>
      </c>
      <c r="AA6" s="37">
        <v>18</v>
      </c>
      <c r="AB6" s="37">
        <v>0</v>
      </c>
      <c r="AC6" s="38"/>
      <c r="AD6" s="39"/>
      <c r="AE6" s="37">
        <v>394</v>
      </c>
      <c r="AF6" s="37">
        <v>372</v>
      </c>
      <c r="AG6" s="37">
        <v>350</v>
      </c>
      <c r="AH6" s="37">
        <v>330</v>
      </c>
      <c r="AI6" s="37">
        <v>305</v>
      </c>
      <c r="AJ6" s="37">
        <v>285</v>
      </c>
      <c r="AK6" s="37">
        <v>265</v>
      </c>
      <c r="AL6" s="37">
        <v>240</v>
      </c>
      <c r="AM6" s="37">
        <v>220</v>
      </c>
      <c r="AN6" s="37">
        <v>198</v>
      </c>
      <c r="AO6" s="37">
        <v>175</v>
      </c>
      <c r="AP6" s="37">
        <v>153</v>
      </c>
      <c r="AQ6" s="37">
        <v>133</v>
      </c>
      <c r="AR6" s="82">
        <v>110</v>
      </c>
      <c r="AS6" s="82">
        <v>90</v>
      </c>
      <c r="AT6" s="82">
        <v>66</v>
      </c>
      <c r="AU6" s="82">
        <v>23</v>
      </c>
      <c r="AV6" s="82">
        <v>0</v>
      </c>
      <c r="AW6" s="19"/>
      <c r="AX6" s="8"/>
      <c r="AY6" s="8"/>
    </row>
    <row r="7" spans="1:78" s="1" customFormat="1" ht="20.100000000000001" customHeight="1" x14ac:dyDescent="0.35">
      <c r="A7" s="32"/>
      <c r="B7" s="33"/>
      <c r="C7" s="34"/>
      <c r="D7" s="95"/>
      <c r="E7" s="96"/>
      <c r="F7" s="40"/>
      <c r="G7" s="41"/>
      <c r="H7" s="42"/>
      <c r="I7" s="43"/>
      <c r="J7" s="42"/>
      <c r="K7" s="43"/>
      <c r="L7" s="40"/>
      <c r="M7" s="44"/>
      <c r="N7" s="41"/>
      <c r="O7" s="45"/>
      <c r="P7" s="45"/>
      <c r="Q7" s="46"/>
      <c r="R7" s="47"/>
      <c r="S7" s="91"/>
      <c r="T7" s="86"/>
      <c r="U7" s="47"/>
      <c r="V7" s="47"/>
      <c r="W7" s="47"/>
      <c r="X7" s="47"/>
      <c r="Y7" s="47"/>
      <c r="Z7" s="47"/>
      <c r="AA7" s="47"/>
      <c r="AB7" s="301" t="s">
        <v>16</v>
      </c>
      <c r="AC7" s="48">
        <v>4</v>
      </c>
      <c r="AD7" s="304">
        <v>12</v>
      </c>
      <c r="AE7" s="41"/>
      <c r="AF7" s="41"/>
      <c r="AG7" s="49"/>
      <c r="AH7" s="49"/>
      <c r="AI7" s="41"/>
      <c r="AJ7" s="41"/>
      <c r="AK7" s="41"/>
      <c r="AL7" s="41"/>
      <c r="AM7" s="43"/>
      <c r="AN7" s="41"/>
      <c r="AO7" s="41"/>
      <c r="AP7" s="41"/>
      <c r="AQ7" s="41"/>
      <c r="AR7" s="203"/>
      <c r="AS7" s="203"/>
      <c r="AT7" s="204"/>
      <c r="AU7" s="203"/>
      <c r="AV7" s="203"/>
      <c r="AW7" s="6"/>
      <c r="AX7" s="5"/>
      <c r="AY7" s="5"/>
      <c r="BB7" s="24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</row>
    <row r="8" spans="1:78" s="1" customFormat="1" ht="20.100000000000001" customHeight="1" x14ac:dyDescent="0.35">
      <c r="A8" s="35"/>
      <c r="B8" s="33"/>
      <c r="C8" s="33"/>
      <c r="D8" s="95"/>
      <c r="E8" s="97"/>
      <c r="F8" s="50"/>
      <c r="G8" s="51"/>
      <c r="H8" s="52"/>
      <c r="I8" s="52"/>
      <c r="J8" s="52"/>
      <c r="K8" s="52"/>
      <c r="L8" s="53"/>
      <c r="M8" s="50"/>
      <c r="N8" s="54"/>
      <c r="O8" s="55"/>
      <c r="P8" s="56"/>
      <c r="Q8" s="57"/>
      <c r="R8" s="57"/>
      <c r="S8" s="92"/>
      <c r="T8" s="87"/>
      <c r="U8" s="57"/>
      <c r="V8" s="57"/>
      <c r="W8" s="57"/>
      <c r="X8" s="57"/>
      <c r="Y8" s="57"/>
      <c r="Z8" s="57"/>
      <c r="AA8" s="57"/>
      <c r="AB8" s="302"/>
      <c r="AC8" s="58">
        <v>8</v>
      </c>
      <c r="AD8" s="305"/>
      <c r="AE8" s="59"/>
      <c r="AF8" s="54"/>
      <c r="AG8" s="59"/>
      <c r="AH8" s="54"/>
      <c r="AI8" s="60"/>
      <c r="AJ8" s="54"/>
      <c r="AK8" s="54"/>
      <c r="AL8" s="54"/>
      <c r="AM8" s="54"/>
      <c r="AN8" s="54"/>
      <c r="AO8" s="54"/>
      <c r="AP8" s="54"/>
      <c r="AQ8" s="54"/>
      <c r="AR8" s="54"/>
      <c r="AS8" s="199"/>
      <c r="AT8" s="199"/>
      <c r="AU8" s="201"/>
      <c r="AV8" s="199"/>
      <c r="AW8" s="6"/>
      <c r="AX8" s="5"/>
      <c r="AY8" s="5"/>
      <c r="BB8" s="25"/>
      <c r="BC8" s="26"/>
      <c r="BD8" s="26"/>
      <c r="BE8" s="26"/>
      <c r="BF8" s="26"/>
      <c r="BG8" s="26"/>
      <c r="BH8" s="26"/>
      <c r="BI8" s="26"/>
      <c r="BJ8" s="26"/>
      <c r="BK8" s="23"/>
      <c r="BL8" s="23"/>
      <c r="BM8" s="23"/>
      <c r="BN8" s="23"/>
      <c r="BO8" s="23"/>
      <c r="BP8" s="23"/>
      <c r="BQ8" s="23"/>
    </row>
    <row r="9" spans="1:78" s="1" customFormat="1" ht="20.100000000000001" customHeight="1" x14ac:dyDescent="0.35">
      <c r="A9" s="32"/>
      <c r="B9" s="33"/>
      <c r="C9" s="33"/>
      <c r="D9" s="100"/>
      <c r="E9" s="98"/>
      <c r="F9" s="61"/>
      <c r="G9" s="62"/>
      <c r="H9" s="63"/>
      <c r="I9" s="62"/>
      <c r="J9" s="63"/>
      <c r="K9" s="63"/>
      <c r="L9" s="62"/>
      <c r="M9" s="62"/>
      <c r="N9" s="63"/>
      <c r="O9" s="64"/>
      <c r="P9" s="65"/>
      <c r="Q9" s="57"/>
      <c r="R9" s="66"/>
      <c r="S9" s="92"/>
      <c r="T9" s="88"/>
      <c r="U9" s="57"/>
      <c r="V9" s="57"/>
      <c r="W9" s="57"/>
      <c r="X9" s="57"/>
      <c r="Y9" s="57"/>
      <c r="Z9" s="57"/>
      <c r="AA9" s="67"/>
      <c r="AB9" s="302"/>
      <c r="AC9" s="58">
        <v>12</v>
      </c>
      <c r="AD9" s="305"/>
      <c r="AE9" s="54"/>
      <c r="AF9" s="54"/>
      <c r="AG9" s="54"/>
      <c r="AH9" s="54"/>
      <c r="AI9" s="68"/>
      <c r="AJ9" s="68"/>
      <c r="AK9" s="54"/>
      <c r="AL9" s="54"/>
      <c r="AM9" s="54"/>
      <c r="AN9" s="54"/>
      <c r="AO9" s="54"/>
      <c r="AP9" s="68"/>
      <c r="AQ9" s="54"/>
      <c r="AR9" s="54"/>
      <c r="AS9" s="199"/>
      <c r="AT9" s="200"/>
      <c r="AU9" s="199"/>
      <c r="AV9" s="199"/>
      <c r="AW9" s="6"/>
      <c r="AX9" s="5"/>
      <c r="AY9" s="5"/>
      <c r="BB9" s="26"/>
      <c r="BC9" s="26"/>
      <c r="BD9" s="26"/>
      <c r="BE9" s="26"/>
      <c r="BF9" s="26"/>
      <c r="BG9" s="26"/>
      <c r="BH9" s="26"/>
      <c r="BI9" s="26"/>
      <c r="BJ9" s="26"/>
      <c r="BK9" s="23"/>
      <c r="BL9" s="23"/>
      <c r="BM9" s="23"/>
      <c r="BN9" s="23"/>
      <c r="BO9" s="23"/>
      <c r="BP9" s="23"/>
      <c r="BQ9" s="23"/>
    </row>
    <row r="10" spans="1:78" s="1" customFormat="1" ht="20.100000000000001" customHeight="1" x14ac:dyDescent="0.35">
      <c r="A10" s="35"/>
      <c r="B10" s="33"/>
      <c r="C10" s="36"/>
      <c r="D10" s="95"/>
      <c r="E10" s="97"/>
      <c r="F10" s="50"/>
      <c r="G10" s="52"/>
      <c r="H10" s="52"/>
      <c r="I10" s="52"/>
      <c r="J10" s="52"/>
      <c r="K10" s="69"/>
      <c r="L10" s="53"/>
      <c r="M10" s="50"/>
      <c r="N10" s="54"/>
      <c r="O10" s="55"/>
      <c r="P10" s="56"/>
      <c r="Q10" s="57"/>
      <c r="R10" s="57"/>
      <c r="S10" s="92"/>
      <c r="T10" s="88"/>
      <c r="U10" s="57"/>
      <c r="V10" s="57"/>
      <c r="W10" s="57"/>
      <c r="X10" s="62"/>
      <c r="Y10" s="57"/>
      <c r="Z10" s="57"/>
      <c r="AA10" s="57"/>
      <c r="AB10" s="302"/>
      <c r="AC10" s="58">
        <v>16</v>
      </c>
      <c r="AD10" s="305"/>
      <c r="AE10" s="68"/>
      <c r="AF10" s="54"/>
      <c r="AG10" s="70"/>
      <c r="AH10" s="54"/>
      <c r="AI10" s="68"/>
      <c r="AJ10" s="54"/>
      <c r="AK10" s="54"/>
      <c r="AL10" s="54"/>
      <c r="AM10" s="54"/>
      <c r="AN10" s="54"/>
      <c r="AO10" s="54"/>
      <c r="AP10" s="54"/>
      <c r="AQ10" s="54"/>
      <c r="AR10" s="54"/>
      <c r="AS10" s="199"/>
      <c r="AT10" s="200"/>
      <c r="AU10" s="201"/>
      <c r="AV10" s="199"/>
      <c r="AW10" s="5"/>
      <c r="AX10" s="5"/>
      <c r="AY10" s="5"/>
      <c r="BB10" s="25"/>
      <c r="BC10" s="26" t="s">
        <v>19</v>
      </c>
      <c r="BD10" s="26"/>
      <c r="BE10" s="26"/>
      <c r="BF10" s="26"/>
      <c r="BG10" s="27"/>
      <c r="BH10" s="27"/>
      <c r="BI10" s="27"/>
      <c r="BJ10" s="27"/>
      <c r="BK10" s="23"/>
      <c r="BL10" s="23"/>
      <c r="BM10" s="23"/>
      <c r="BN10" s="23"/>
      <c r="BO10" s="23"/>
      <c r="BP10" s="23"/>
      <c r="BQ10" s="23"/>
    </row>
    <row r="11" spans="1:78" s="1" customFormat="1" ht="20.100000000000001" customHeight="1" x14ac:dyDescent="0.3">
      <c r="A11" s="35"/>
      <c r="B11" s="36"/>
      <c r="C11" s="36"/>
      <c r="D11" s="95"/>
      <c r="E11" s="98"/>
      <c r="F11" s="71"/>
      <c r="G11" s="70"/>
      <c r="H11" s="72"/>
      <c r="I11" s="70"/>
      <c r="J11" s="72"/>
      <c r="K11" s="62"/>
      <c r="L11" s="70"/>
      <c r="M11" s="68"/>
      <c r="N11" s="73"/>
      <c r="O11" s="68"/>
      <c r="P11" s="74"/>
      <c r="Q11" s="75"/>
      <c r="R11" s="56"/>
      <c r="S11" s="93"/>
      <c r="T11" s="89"/>
      <c r="U11" s="56"/>
      <c r="V11" s="56"/>
      <c r="W11" s="68"/>
      <c r="X11" s="76"/>
      <c r="Y11" s="56"/>
      <c r="Z11" s="77"/>
      <c r="AA11" s="77"/>
      <c r="AB11" s="302"/>
      <c r="AC11" s="58">
        <v>20</v>
      </c>
      <c r="AD11" s="305"/>
      <c r="AE11" s="68"/>
      <c r="AF11" s="52"/>
      <c r="AG11" s="54"/>
      <c r="AH11" s="60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199"/>
      <c r="AT11" s="199"/>
      <c r="AU11" s="202"/>
      <c r="AV11" s="202"/>
      <c r="AW11" s="5"/>
      <c r="AX11" s="5"/>
      <c r="AY11" s="5"/>
      <c r="BB11" s="26"/>
      <c r="BC11" s="26"/>
      <c r="BD11" s="26"/>
      <c r="BE11" s="26"/>
      <c r="BF11" s="26"/>
      <c r="BG11" s="27"/>
      <c r="BH11" s="27"/>
      <c r="BI11" s="27"/>
      <c r="BJ11" s="27"/>
      <c r="BK11" s="23"/>
      <c r="BL11" s="23"/>
      <c r="BM11" s="23"/>
      <c r="BN11" s="23"/>
      <c r="BO11" s="23"/>
      <c r="BP11" s="23"/>
      <c r="BQ11" s="23"/>
    </row>
    <row r="12" spans="1:78" s="1" customFormat="1" ht="24" thickBot="1" x14ac:dyDescent="0.4">
      <c r="A12" s="35"/>
      <c r="B12" s="33"/>
      <c r="C12" s="33"/>
      <c r="D12" s="95"/>
      <c r="E12" s="99"/>
      <c r="F12" s="78"/>
      <c r="G12" s="79"/>
      <c r="H12" s="79"/>
      <c r="I12" s="79"/>
      <c r="J12" s="79"/>
      <c r="K12" s="80"/>
      <c r="L12" s="78"/>
      <c r="M12" s="81"/>
      <c r="N12" s="81"/>
      <c r="O12" s="82"/>
      <c r="P12" s="81"/>
      <c r="Q12" s="81"/>
      <c r="R12" s="79"/>
      <c r="S12" s="94"/>
      <c r="T12" s="90"/>
      <c r="U12" s="83"/>
      <c r="V12" s="83"/>
      <c r="W12" s="83"/>
      <c r="X12" s="83"/>
      <c r="Y12" s="83"/>
      <c r="Z12" s="83"/>
      <c r="AA12" s="84"/>
      <c r="AB12" s="303"/>
      <c r="AC12" s="85">
        <v>24</v>
      </c>
      <c r="AD12" s="306"/>
      <c r="AE12" s="79"/>
      <c r="AF12" s="79"/>
      <c r="AG12" s="79"/>
      <c r="AH12" s="79"/>
      <c r="AI12" s="81"/>
      <c r="AJ12" s="79"/>
      <c r="AK12" s="79"/>
      <c r="AL12" s="79"/>
      <c r="AM12" s="79"/>
      <c r="AN12" s="80"/>
      <c r="AO12" s="79"/>
      <c r="AP12" s="79"/>
      <c r="AQ12" s="81"/>
      <c r="AR12" s="79"/>
      <c r="AS12" s="79"/>
      <c r="AT12" s="79"/>
      <c r="AU12" s="79"/>
      <c r="AV12" s="79"/>
      <c r="AW12" s="7"/>
      <c r="AX12" s="5"/>
      <c r="AY12" s="5"/>
      <c r="BB12" s="26"/>
      <c r="BC12" s="28"/>
      <c r="BD12" s="26"/>
      <c r="BE12" s="26"/>
      <c r="BF12" s="26"/>
      <c r="BG12" s="27"/>
      <c r="BH12" s="27"/>
      <c r="BI12" s="27"/>
      <c r="BJ12" s="27"/>
      <c r="BK12" s="23"/>
      <c r="BL12" s="23"/>
      <c r="BM12" s="23"/>
      <c r="BN12" s="23"/>
      <c r="BO12" s="23"/>
      <c r="BP12" s="23"/>
      <c r="BQ12" s="23"/>
    </row>
    <row r="13" spans="1:78" ht="23.25" x14ac:dyDescent="0.35">
      <c r="A13" s="32"/>
      <c r="B13" s="33"/>
      <c r="C13" s="34"/>
      <c r="D13" s="95"/>
      <c r="E13" s="96"/>
      <c r="F13" s="40"/>
      <c r="G13" s="41"/>
      <c r="H13" s="42"/>
      <c r="I13" s="43"/>
      <c r="J13" s="42"/>
      <c r="K13" s="43"/>
      <c r="L13" s="40"/>
      <c r="M13" s="44"/>
      <c r="N13" s="41"/>
      <c r="O13" s="45"/>
      <c r="P13" s="45"/>
      <c r="Q13" s="46"/>
      <c r="R13" s="47"/>
      <c r="S13" s="91"/>
      <c r="T13" s="86"/>
      <c r="U13" s="47"/>
      <c r="V13" s="47"/>
      <c r="W13" s="47"/>
      <c r="X13" s="47"/>
      <c r="Y13" s="47"/>
      <c r="Z13" s="47"/>
      <c r="AA13" s="47"/>
      <c r="AB13" s="301" t="s">
        <v>17</v>
      </c>
      <c r="AC13" s="48">
        <v>4</v>
      </c>
      <c r="AD13" s="304">
        <v>13</v>
      </c>
      <c r="AE13" s="41"/>
      <c r="AF13" s="41"/>
      <c r="AG13" s="49"/>
      <c r="AH13" s="49"/>
      <c r="AI13" s="41"/>
      <c r="AJ13" s="41"/>
      <c r="AK13" s="41"/>
      <c r="AL13" s="41"/>
      <c r="AM13" s="43"/>
      <c r="AN13" s="41"/>
      <c r="AO13" s="41"/>
      <c r="AP13" s="41"/>
      <c r="AQ13" s="41"/>
      <c r="AR13" s="203"/>
      <c r="AS13" s="203"/>
      <c r="AT13" s="204"/>
      <c r="AU13" s="203"/>
      <c r="AV13" s="203"/>
      <c r="AW13" s="6"/>
      <c r="AX13" s="5"/>
      <c r="AY13" s="5"/>
      <c r="AZ13" s="1"/>
      <c r="BA13" s="1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1"/>
      <c r="BS13" s="1"/>
      <c r="BT13" s="1"/>
      <c r="BU13" s="1"/>
      <c r="BV13" s="1"/>
      <c r="BW13" s="1"/>
      <c r="BX13" s="1"/>
      <c r="BY13" s="1"/>
      <c r="BZ13" s="1"/>
    </row>
    <row r="14" spans="1:78" ht="23.25" x14ac:dyDescent="0.35">
      <c r="A14" s="35"/>
      <c r="B14" s="33"/>
      <c r="C14" s="33"/>
      <c r="D14" s="95"/>
      <c r="E14" s="97"/>
      <c r="F14" s="50"/>
      <c r="G14" s="51"/>
      <c r="H14" s="52"/>
      <c r="I14" s="52"/>
      <c r="J14" s="52"/>
      <c r="K14" s="52"/>
      <c r="L14" s="53"/>
      <c r="M14" s="50"/>
      <c r="N14" s="54"/>
      <c r="O14" s="55"/>
      <c r="P14" s="56"/>
      <c r="Q14" s="57"/>
      <c r="R14" s="57"/>
      <c r="S14" s="92"/>
      <c r="T14" s="87"/>
      <c r="U14" s="57"/>
      <c r="V14" s="57"/>
      <c r="W14" s="57"/>
      <c r="X14" s="57"/>
      <c r="Y14" s="57"/>
      <c r="Z14" s="57"/>
      <c r="AA14" s="57"/>
      <c r="AB14" s="302"/>
      <c r="AC14" s="58">
        <v>8</v>
      </c>
      <c r="AD14" s="305"/>
      <c r="AE14" s="59"/>
      <c r="AF14" s="54"/>
      <c r="AG14" s="59"/>
      <c r="AH14" s="54"/>
      <c r="AI14" s="60"/>
      <c r="AJ14" s="54"/>
      <c r="AK14" s="54"/>
      <c r="AL14" s="54"/>
      <c r="AM14" s="54"/>
      <c r="AN14" s="54"/>
      <c r="AO14" s="54"/>
      <c r="AP14" s="54"/>
      <c r="AQ14" s="54"/>
      <c r="AR14" s="54"/>
      <c r="AS14" s="199"/>
      <c r="AT14" s="199"/>
      <c r="AU14" s="201"/>
      <c r="AV14" s="199"/>
      <c r="AW14" s="6"/>
      <c r="AX14" s="5"/>
      <c r="AY14" s="5"/>
      <c r="AZ14" s="1"/>
      <c r="BA14" s="1"/>
      <c r="BB14" s="25"/>
      <c r="BC14" s="26"/>
      <c r="BD14" s="26"/>
      <c r="BE14" s="26"/>
      <c r="BF14" s="26"/>
      <c r="BG14" s="26"/>
      <c r="BH14" s="26"/>
      <c r="BI14" s="26"/>
      <c r="BJ14" s="26"/>
      <c r="BK14" s="23"/>
      <c r="BL14" s="23"/>
      <c r="BM14" s="23"/>
      <c r="BN14" s="23"/>
      <c r="BO14" s="23"/>
      <c r="BP14" s="23"/>
      <c r="BQ14" s="23"/>
      <c r="BR14" s="1"/>
      <c r="BS14" s="1"/>
      <c r="BT14" s="1"/>
      <c r="BU14" s="1"/>
      <c r="BV14" s="1"/>
      <c r="BW14" s="1"/>
      <c r="BX14" s="1"/>
      <c r="BY14" s="1"/>
      <c r="BZ14" s="1"/>
    </row>
    <row r="15" spans="1:78" ht="23.25" x14ac:dyDescent="0.35">
      <c r="A15" s="32"/>
      <c r="B15" s="33"/>
      <c r="C15" s="33"/>
      <c r="D15" s="100"/>
      <c r="E15" s="98"/>
      <c r="F15" s="61"/>
      <c r="G15" s="62"/>
      <c r="H15" s="63"/>
      <c r="I15" s="62"/>
      <c r="J15" s="63"/>
      <c r="K15" s="63"/>
      <c r="L15" s="62"/>
      <c r="M15" s="62"/>
      <c r="N15" s="63"/>
      <c r="O15" s="64"/>
      <c r="P15" s="65"/>
      <c r="Q15" s="57"/>
      <c r="R15" s="66"/>
      <c r="S15" s="92"/>
      <c r="T15" s="88"/>
      <c r="U15" s="57"/>
      <c r="V15" s="57"/>
      <c r="W15" s="57"/>
      <c r="X15" s="57"/>
      <c r="Y15" s="57"/>
      <c r="Z15" s="57"/>
      <c r="AA15" s="67"/>
      <c r="AB15" s="302"/>
      <c r="AC15" s="58">
        <v>12</v>
      </c>
      <c r="AD15" s="305"/>
      <c r="AE15" s="54"/>
      <c r="AF15" s="54"/>
      <c r="AG15" s="54"/>
      <c r="AH15" s="54"/>
      <c r="AI15" s="68"/>
      <c r="AJ15" s="68"/>
      <c r="AK15" s="54"/>
      <c r="AL15" s="54"/>
      <c r="AM15" s="54"/>
      <c r="AN15" s="54"/>
      <c r="AO15" s="54"/>
      <c r="AP15" s="68"/>
      <c r="AQ15" s="54"/>
      <c r="AR15" s="54"/>
      <c r="AS15" s="199"/>
      <c r="AT15" s="200"/>
      <c r="AU15" s="199"/>
      <c r="AV15" s="199"/>
      <c r="AW15" s="6"/>
      <c r="AX15" s="5"/>
      <c r="AY15" s="5"/>
      <c r="AZ15" s="1"/>
      <c r="BA15" s="1"/>
      <c r="BB15" s="26"/>
      <c r="BC15" s="26"/>
      <c r="BD15" s="26"/>
      <c r="BE15" s="26"/>
      <c r="BF15" s="26"/>
      <c r="BG15" s="26"/>
      <c r="BH15" s="26"/>
      <c r="BI15" s="26"/>
      <c r="BJ15" s="26"/>
      <c r="BK15" s="23"/>
      <c r="BL15" s="23"/>
      <c r="BM15" s="23"/>
      <c r="BN15" s="23"/>
      <c r="BO15" s="23"/>
      <c r="BP15" s="23"/>
      <c r="BQ15" s="23"/>
      <c r="BR15" s="1"/>
      <c r="BS15" s="1"/>
      <c r="BT15" s="1"/>
      <c r="BU15" s="1"/>
      <c r="BV15" s="1"/>
      <c r="BW15" s="1"/>
      <c r="BX15" s="1"/>
      <c r="BY15" s="1"/>
      <c r="BZ15" s="1"/>
    </row>
    <row r="16" spans="1:78" ht="23.25" x14ac:dyDescent="0.35">
      <c r="A16" s="35"/>
      <c r="B16" s="33"/>
      <c r="C16" s="36"/>
      <c r="D16" s="95"/>
      <c r="E16" s="97"/>
      <c r="F16" s="50"/>
      <c r="G16" s="52"/>
      <c r="H16" s="52"/>
      <c r="I16" s="52"/>
      <c r="J16" s="52"/>
      <c r="K16" s="69"/>
      <c r="L16" s="53"/>
      <c r="M16" s="50"/>
      <c r="N16" s="54"/>
      <c r="O16" s="55"/>
      <c r="P16" s="56"/>
      <c r="Q16" s="57"/>
      <c r="R16" s="57"/>
      <c r="S16" s="92"/>
      <c r="T16" s="88"/>
      <c r="U16" s="57"/>
      <c r="V16" s="57"/>
      <c r="W16" s="57"/>
      <c r="X16" s="62"/>
      <c r="Y16" s="57"/>
      <c r="Z16" s="57"/>
      <c r="AA16" s="57"/>
      <c r="AB16" s="302"/>
      <c r="AC16" s="58">
        <v>16</v>
      </c>
      <c r="AD16" s="305"/>
      <c r="AE16" s="68"/>
      <c r="AF16" s="54"/>
      <c r="AG16" s="70"/>
      <c r="AH16" s="54"/>
      <c r="AI16" s="68"/>
      <c r="AJ16" s="54"/>
      <c r="AK16" s="54"/>
      <c r="AL16" s="54"/>
      <c r="AM16" s="54"/>
      <c r="AN16" s="54"/>
      <c r="AO16" s="54"/>
      <c r="AP16" s="54"/>
      <c r="AQ16" s="54"/>
      <c r="AR16" s="54"/>
      <c r="AS16" s="199"/>
      <c r="AT16" s="200"/>
      <c r="AU16" s="201"/>
      <c r="AV16" s="199"/>
      <c r="AW16" s="5"/>
      <c r="AX16" s="5"/>
      <c r="AY16" s="5"/>
      <c r="AZ16" s="1"/>
      <c r="BA16" s="1"/>
      <c r="BB16" s="25"/>
      <c r="BC16" s="26" t="s">
        <v>19</v>
      </c>
      <c r="BD16" s="26"/>
      <c r="BE16" s="26"/>
      <c r="BF16" s="26"/>
      <c r="BG16" s="27"/>
      <c r="BH16" s="27"/>
      <c r="BI16" s="27"/>
      <c r="BJ16" s="27"/>
      <c r="BK16" s="23"/>
      <c r="BL16" s="23"/>
      <c r="BM16" s="23"/>
      <c r="BN16" s="23"/>
      <c r="BO16" s="23"/>
      <c r="BP16" s="23"/>
      <c r="BQ16" s="23"/>
      <c r="BR16" s="1"/>
      <c r="BS16" s="1"/>
      <c r="BT16" s="1"/>
      <c r="BU16" s="1"/>
      <c r="BV16" s="1"/>
      <c r="BW16" s="1"/>
      <c r="BX16" s="1"/>
      <c r="BY16" s="1"/>
      <c r="BZ16" s="1"/>
    </row>
    <row r="17" spans="1:78" ht="20.25" x14ac:dyDescent="0.3">
      <c r="A17" s="35"/>
      <c r="B17" s="36"/>
      <c r="C17" s="36"/>
      <c r="D17" s="95"/>
      <c r="E17" s="98"/>
      <c r="F17" s="71"/>
      <c r="G17" s="70"/>
      <c r="H17" s="72"/>
      <c r="I17" s="70"/>
      <c r="J17" s="72"/>
      <c r="K17" s="62"/>
      <c r="L17" s="70"/>
      <c r="M17" s="68"/>
      <c r="N17" s="73"/>
      <c r="O17" s="68"/>
      <c r="P17" s="74"/>
      <c r="Q17" s="75"/>
      <c r="R17" s="56"/>
      <c r="S17" s="93"/>
      <c r="T17" s="89"/>
      <c r="U17" s="56"/>
      <c r="V17" s="56"/>
      <c r="W17" s="68"/>
      <c r="X17" s="76"/>
      <c r="Y17" s="56"/>
      <c r="Z17" s="77"/>
      <c r="AA17" s="77"/>
      <c r="AB17" s="302"/>
      <c r="AC17" s="58">
        <v>20</v>
      </c>
      <c r="AD17" s="305"/>
      <c r="AE17" s="68"/>
      <c r="AF17" s="52"/>
      <c r="AG17" s="54"/>
      <c r="AH17" s="60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199"/>
      <c r="AT17" s="199"/>
      <c r="AU17" s="202"/>
      <c r="AV17" s="202"/>
      <c r="AW17" s="5"/>
      <c r="AX17" s="5"/>
      <c r="AY17" s="5"/>
      <c r="AZ17" s="1"/>
      <c r="BA17" s="1"/>
      <c r="BB17" s="26"/>
      <c r="BC17" s="26"/>
      <c r="BD17" s="26"/>
      <c r="BE17" s="26"/>
      <c r="BF17" s="26"/>
      <c r="BG17" s="27"/>
      <c r="BH17" s="27"/>
      <c r="BI17" s="27"/>
      <c r="BJ17" s="27"/>
      <c r="BK17" s="23"/>
      <c r="BL17" s="23"/>
      <c r="BM17" s="23"/>
      <c r="BN17" s="23"/>
      <c r="BO17" s="23"/>
      <c r="BP17" s="23"/>
      <c r="BQ17" s="23"/>
      <c r="BR17" s="1"/>
      <c r="BS17" s="1"/>
      <c r="BT17" s="1"/>
      <c r="BU17" s="1"/>
      <c r="BV17" s="1"/>
      <c r="BW17" s="1"/>
      <c r="BX17" s="1"/>
      <c r="BY17" s="1"/>
      <c r="BZ17" s="1"/>
    </row>
    <row r="18" spans="1:78" ht="24" thickBot="1" x14ac:dyDescent="0.4">
      <c r="A18" s="35"/>
      <c r="B18" s="33"/>
      <c r="C18" s="33"/>
      <c r="D18" s="95"/>
      <c r="E18" s="99"/>
      <c r="F18" s="78"/>
      <c r="G18" s="79"/>
      <c r="H18" s="79"/>
      <c r="I18" s="79"/>
      <c r="J18" s="79"/>
      <c r="K18" s="80"/>
      <c r="L18" s="78"/>
      <c r="M18" s="81"/>
      <c r="N18" s="81"/>
      <c r="O18" s="82"/>
      <c r="P18" s="81"/>
      <c r="Q18" s="81"/>
      <c r="R18" s="79"/>
      <c r="S18" s="94"/>
      <c r="T18" s="90"/>
      <c r="U18" s="83"/>
      <c r="V18" s="83"/>
      <c r="W18" s="83"/>
      <c r="X18" s="83"/>
      <c r="Y18" s="83"/>
      <c r="Z18" s="83"/>
      <c r="AA18" s="84"/>
      <c r="AB18" s="303"/>
      <c r="AC18" s="85">
        <v>24</v>
      </c>
      <c r="AD18" s="306"/>
      <c r="AE18" s="79"/>
      <c r="AF18" s="79"/>
      <c r="AG18" s="79"/>
      <c r="AH18" s="79"/>
      <c r="AI18" s="81"/>
      <c r="AJ18" s="79"/>
      <c r="AK18" s="79"/>
      <c r="AL18" s="79"/>
      <c r="AM18" s="79"/>
      <c r="AN18" s="80"/>
      <c r="AO18" s="79"/>
      <c r="AP18" s="79"/>
      <c r="AQ18" s="81"/>
      <c r="AR18" s="79"/>
      <c r="AS18" s="79"/>
      <c r="AT18" s="79"/>
      <c r="AU18" s="79"/>
      <c r="AV18" s="79"/>
      <c r="AW18" s="7"/>
      <c r="AX18" s="5"/>
      <c r="AY18" s="5"/>
      <c r="AZ18" s="1"/>
      <c r="BA18" s="1"/>
      <c r="BB18" s="26"/>
      <c r="BC18" s="28"/>
      <c r="BD18" s="26"/>
      <c r="BE18" s="26"/>
      <c r="BF18" s="26"/>
      <c r="BG18" s="27"/>
      <c r="BH18" s="27"/>
      <c r="BI18" s="27"/>
      <c r="BJ18" s="27"/>
      <c r="BK18" s="23"/>
      <c r="BL18" s="23"/>
      <c r="BM18" s="23"/>
      <c r="BN18" s="23"/>
      <c r="BO18" s="23"/>
      <c r="BP18" s="23"/>
      <c r="BQ18" s="23"/>
      <c r="BR18" s="1"/>
      <c r="BS18" s="1"/>
      <c r="BT18" s="1"/>
      <c r="BU18" s="1"/>
      <c r="BV18" s="1"/>
      <c r="BW18" s="1"/>
      <c r="BX18" s="1"/>
      <c r="BY18" s="1"/>
      <c r="BZ18" s="1"/>
    </row>
    <row r="19" spans="1:78" x14ac:dyDescent="0.2">
      <c r="AA19"/>
      <c r="AB19"/>
      <c r="AC19"/>
    </row>
    <row r="20" spans="1:78" x14ac:dyDescent="0.2">
      <c r="AA20"/>
      <c r="AB20"/>
      <c r="AC20"/>
    </row>
    <row r="21" spans="1:78" x14ac:dyDescent="0.2">
      <c r="AA21"/>
      <c r="AB21"/>
      <c r="AC21"/>
    </row>
    <row r="22" spans="1:78" x14ac:dyDescent="0.2">
      <c r="AA22"/>
      <c r="AB22"/>
      <c r="AC22"/>
    </row>
    <row r="23" spans="1:78" x14ac:dyDescent="0.2">
      <c r="AA23"/>
      <c r="AB23"/>
      <c r="AC23"/>
    </row>
    <row r="24" spans="1:78" x14ac:dyDescent="0.2">
      <c r="AA24"/>
      <c r="AB24"/>
      <c r="AC24"/>
    </row>
    <row r="25" spans="1:78" x14ac:dyDescent="0.2">
      <c r="AA25"/>
      <c r="AB25"/>
      <c r="AC25"/>
    </row>
    <row r="26" spans="1:78" x14ac:dyDescent="0.2">
      <c r="AA26"/>
      <c r="AB26"/>
      <c r="AC26"/>
    </row>
    <row r="27" spans="1:78" x14ac:dyDescent="0.2">
      <c r="AA27"/>
      <c r="AB27"/>
      <c r="AC27"/>
    </row>
    <row r="28" spans="1:78" x14ac:dyDescent="0.2">
      <c r="AA28"/>
      <c r="AB28"/>
      <c r="AC28"/>
    </row>
    <row r="29" spans="1:78" x14ac:dyDescent="0.2">
      <c r="AA29"/>
      <c r="AB29"/>
      <c r="AC29"/>
    </row>
    <row r="30" spans="1:78" x14ac:dyDescent="0.2">
      <c r="AA30"/>
      <c r="AB30"/>
      <c r="AC30"/>
    </row>
    <row r="31" spans="1:78" x14ac:dyDescent="0.2">
      <c r="AA31"/>
      <c r="AB31"/>
      <c r="AC31"/>
    </row>
    <row r="32" spans="1:78" x14ac:dyDescent="0.2">
      <c r="AA32"/>
      <c r="AB32"/>
      <c r="AC32"/>
    </row>
    <row r="33" spans="27:29" x14ac:dyDescent="0.2">
      <c r="AA33"/>
      <c r="AB33"/>
      <c r="AC33"/>
    </row>
    <row r="34" spans="27:29" x14ac:dyDescent="0.2">
      <c r="AA34"/>
      <c r="AB34"/>
      <c r="AC34"/>
    </row>
    <row r="35" spans="27:29" x14ac:dyDescent="0.2">
      <c r="AA35"/>
      <c r="AB35"/>
      <c r="AC35"/>
    </row>
    <row r="36" spans="27:29" x14ac:dyDescent="0.2">
      <c r="AA36"/>
      <c r="AB36"/>
      <c r="AC36"/>
    </row>
    <row r="37" spans="27:29" x14ac:dyDescent="0.2">
      <c r="AA37"/>
      <c r="AB37"/>
      <c r="AC37"/>
    </row>
    <row r="38" spans="27:29" x14ac:dyDescent="0.2">
      <c r="AA38"/>
      <c r="AB38"/>
      <c r="AC38"/>
    </row>
    <row r="39" spans="27:29" x14ac:dyDescent="0.2">
      <c r="AA39"/>
      <c r="AB39"/>
      <c r="AC39"/>
    </row>
    <row r="40" spans="27:29" x14ac:dyDescent="0.2">
      <c r="AA40"/>
      <c r="AB40"/>
      <c r="AC40"/>
    </row>
    <row r="41" spans="27:29" x14ac:dyDescent="0.2">
      <c r="AA41"/>
      <c r="AB41"/>
      <c r="AC41"/>
    </row>
    <row r="42" spans="27:29" x14ac:dyDescent="0.2">
      <c r="AA42"/>
      <c r="AB42"/>
      <c r="AC42"/>
    </row>
    <row r="43" spans="27:29" x14ac:dyDescent="0.2">
      <c r="AA43"/>
      <c r="AB43"/>
      <c r="AC43"/>
    </row>
    <row r="44" spans="27:29" x14ac:dyDescent="0.2">
      <c r="AA44"/>
      <c r="AB44"/>
      <c r="AC44"/>
    </row>
    <row r="45" spans="27:29" x14ac:dyDescent="0.2">
      <c r="AA45"/>
      <c r="AB45"/>
      <c r="AC45"/>
    </row>
    <row r="46" spans="27:29" x14ac:dyDescent="0.2">
      <c r="AA46"/>
      <c r="AB46"/>
      <c r="AC46"/>
    </row>
    <row r="47" spans="27:29" x14ac:dyDescent="0.2">
      <c r="AA47"/>
      <c r="AB47"/>
      <c r="AC47"/>
    </row>
    <row r="48" spans="27:29" x14ac:dyDescent="0.2">
      <c r="AA48"/>
      <c r="AB48"/>
      <c r="AC48"/>
    </row>
    <row r="49" spans="27:29" x14ac:dyDescent="0.2">
      <c r="AA49"/>
      <c r="AB49"/>
      <c r="AC49"/>
    </row>
    <row r="50" spans="27:29" x14ac:dyDescent="0.2">
      <c r="AA50"/>
      <c r="AB50"/>
      <c r="AC50"/>
    </row>
    <row r="51" spans="27:29" x14ac:dyDescent="0.2">
      <c r="AA51"/>
      <c r="AB51"/>
      <c r="AC51"/>
    </row>
    <row r="52" spans="27:29" x14ac:dyDescent="0.2">
      <c r="AA52"/>
      <c r="AB52"/>
      <c r="AC52"/>
    </row>
    <row r="53" spans="27:29" x14ac:dyDescent="0.2">
      <c r="AA53"/>
      <c r="AB53"/>
      <c r="AC53"/>
    </row>
    <row r="54" spans="27:29" x14ac:dyDescent="0.2">
      <c r="AA54"/>
      <c r="AB54"/>
      <c r="AC54"/>
    </row>
    <row r="55" spans="27:29" x14ac:dyDescent="0.2">
      <c r="AA55"/>
      <c r="AB55"/>
      <c r="AC55"/>
    </row>
    <row r="56" spans="27:29" x14ac:dyDescent="0.2">
      <c r="AA56"/>
      <c r="AB56"/>
      <c r="AC56"/>
    </row>
    <row r="57" spans="27:29" x14ac:dyDescent="0.2">
      <c r="AA57"/>
      <c r="AB57"/>
      <c r="AC57"/>
    </row>
    <row r="58" spans="27:29" x14ac:dyDescent="0.2">
      <c r="AA58"/>
      <c r="AB58"/>
      <c r="AC58"/>
    </row>
    <row r="59" spans="27:29" x14ac:dyDescent="0.2">
      <c r="AA59"/>
      <c r="AB59"/>
      <c r="AC59"/>
    </row>
    <row r="60" spans="27:29" x14ac:dyDescent="0.2">
      <c r="AA60"/>
      <c r="AB60"/>
      <c r="AC60"/>
    </row>
    <row r="61" spans="27:29" x14ac:dyDescent="0.2">
      <c r="AA61"/>
      <c r="AB61"/>
      <c r="AC61"/>
    </row>
    <row r="62" spans="27:29" x14ac:dyDescent="0.2">
      <c r="AA62"/>
      <c r="AB62"/>
      <c r="AC62"/>
    </row>
    <row r="63" spans="27:29" x14ac:dyDescent="0.2">
      <c r="AA63"/>
      <c r="AB63"/>
      <c r="AC63"/>
    </row>
    <row r="64" spans="27:29" x14ac:dyDescent="0.2">
      <c r="AA64"/>
      <c r="AB64"/>
      <c r="AC64"/>
    </row>
    <row r="65" spans="27:29" x14ac:dyDescent="0.2">
      <c r="AA65"/>
      <c r="AB65"/>
      <c r="AC65"/>
    </row>
    <row r="66" spans="27:29" x14ac:dyDescent="0.2">
      <c r="AA66"/>
      <c r="AB66"/>
      <c r="AC66"/>
    </row>
    <row r="67" spans="27:29" x14ac:dyDescent="0.2">
      <c r="AA67"/>
      <c r="AB67"/>
      <c r="AC67"/>
    </row>
    <row r="68" spans="27:29" x14ac:dyDescent="0.2">
      <c r="AA68"/>
      <c r="AB68"/>
      <c r="AC68"/>
    </row>
    <row r="69" spans="27:29" x14ac:dyDescent="0.2">
      <c r="AA69"/>
      <c r="AB69"/>
      <c r="AC69"/>
    </row>
    <row r="70" spans="27:29" x14ac:dyDescent="0.2">
      <c r="AA70"/>
      <c r="AB70"/>
      <c r="AC70"/>
    </row>
    <row r="71" spans="27:29" x14ac:dyDescent="0.2">
      <c r="AA71"/>
      <c r="AB71"/>
      <c r="AC71"/>
    </row>
    <row r="72" spans="27:29" x14ac:dyDescent="0.2">
      <c r="AA72"/>
      <c r="AB72"/>
      <c r="AC72"/>
    </row>
    <row r="73" spans="27:29" x14ac:dyDescent="0.2">
      <c r="AA73"/>
      <c r="AB73"/>
      <c r="AC73"/>
    </row>
    <row r="74" spans="27:29" x14ac:dyDescent="0.2">
      <c r="AA74"/>
      <c r="AB74"/>
      <c r="AC74"/>
    </row>
    <row r="75" spans="27:29" x14ac:dyDescent="0.2">
      <c r="AA75"/>
      <c r="AB75"/>
      <c r="AC75"/>
    </row>
    <row r="76" spans="27:29" x14ac:dyDescent="0.2">
      <c r="AA76"/>
      <c r="AB76"/>
      <c r="AC76"/>
    </row>
    <row r="77" spans="27:29" x14ac:dyDescent="0.2">
      <c r="AA77"/>
      <c r="AB77"/>
      <c r="AC77"/>
    </row>
    <row r="78" spans="27:29" x14ac:dyDescent="0.2">
      <c r="AA78"/>
      <c r="AB78"/>
      <c r="AC78"/>
    </row>
    <row r="79" spans="27:29" x14ac:dyDescent="0.2">
      <c r="AA79"/>
      <c r="AB79"/>
      <c r="AC79"/>
    </row>
    <row r="80" spans="27:29" x14ac:dyDescent="0.2">
      <c r="AA80"/>
      <c r="AB80"/>
      <c r="AC80"/>
    </row>
    <row r="81" spans="27:29" x14ac:dyDescent="0.2">
      <c r="AA81"/>
      <c r="AB81"/>
      <c r="AC81"/>
    </row>
    <row r="82" spans="27:29" x14ac:dyDescent="0.2">
      <c r="AA82"/>
      <c r="AB82"/>
      <c r="AC82"/>
    </row>
    <row r="83" spans="27:29" x14ac:dyDescent="0.2">
      <c r="AA83"/>
      <c r="AB83"/>
      <c r="AC83"/>
    </row>
    <row r="84" spans="27:29" x14ac:dyDescent="0.2">
      <c r="AA84"/>
      <c r="AB84"/>
      <c r="AC84"/>
    </row>
    <row r="85" spans="27:29" x14ac:dyDescent="0.2">
      <c r="AA85"/>
      <c r="AB85"/>
      <c r="AC85"/>
    </row>
    <row r="86" spans="27:29" x14ac:dyDescent="0.2">
      <c r="AA86"/>
      <c r="AB86"/>
      <c r="AC86"/>
    </row>
    <row r="87" spans="27:29" x14ac:dyDescent="0.2">
      <c r="AA87"/>
      <c r="AB87"/>
      <c r="AC87"/>
    </row>
    <row r="88" spans="27:29" x14ac:dyDescent="0.2">
      <c r="AA88"/>
      <c r="AB88"/>
      <c r="AC88"/>
    </row>
    <row r="89" spans="27:29" x14ac:dyDescent="0.2">
      <c r="AA89"/>
      <c r="AB89"/>
      <c r="AC89"/>
    </row>
    <row r="90" spans="27:29" x14ac:dyDescent="0.2">
      <c r="AA90"/>
      <c r="AB90"/>
      <c r="AC90"/>
    </row>
    <row r="91" spans="27:29" x14ac:dyDescent="0.2">
      <c r="AA91"/>
      <c r="AB91"/>
      <c r="AC91"/>
    </row>
    <row r="92" spans="27:29" x14ac:dyDescent="0.2">
      <c r="AA92"/>
      <c r="AB92"/>
      <c r="AC92"/>
    </row>
    <row r="93" spans="27:29" x14ac:dyDescent="0.2">
      <c r="AA93"/>
      <c r="AB93"/>
      <c r="AC93"/>
    </row>
    <row r="94" spans="27:29" x14ac:dyDescent="0.2">
      <c r="AA94"/>
      <c r="AB94"/>
      <c r="AC94"/>
    </row>
    <row r="95" spans="27:29" x14ac:dyDescent="0.2">
      <c r="AA95"/>
      <c r="AB95"/>
      <c r="AC95"/>
    </row>
    <row r="96" spans="27:29" x14ac:dyDescent="0.2">
      <c r="AA96"/>
      <c r="AB96"/>
      <c r="AC96"/>
    </row>
    <row r="97" spans="27:29" x14ac:dyDescent="0.2">
      <c r="AA97"/>
      <c r="AB97"/>
      <c r="AC97"/>
    </row>
    <row r="98" spans="27:29" x14ac:dyDescent="0.2">
      <c r="AA98"/>
      <c r="AB98"/>
      <c r="AC98"/>
    </row>
    <row r="99" spans="27:29" x14ac:dyDescent="0.2">
      <c r="AA99"/>
      <c r="AB99"/>
      <c r="AC99"/>
    </row>
    <row r="100" spans="27:29" x14ac:dyDescent="0.2">
      <c r="AA100"/>
      <c r="AB100"/>
      <c r="AC100"/>
    </row>
    <row r="101" spans="27:29" x14ac:dyDescent="0.2">
      <c r="AA101"/>
      <c r="AB101"/>
      <c r="AC101"/>
    </row>
    <row r="102" spans="27:29" x14ac:dyDescent="0.2">
      <c r="AA102"/>
      <c r="AB102"/>
      <c r="AC102"/>
    </row>
    <row r="103" spans="27:29" x14ac:dyDescent="0.2">
      <c r="AA103"/>
      <c r="AB103"/>
      <c r="AC103"/>
    </row>
    <row r="104" spans="27:29" x14ac:dyDescent="0.2">
      <c r="AA104"/>
      <c r="AB104"/>
      <c r="AC104"/>
    </row>
    <row r="105" spans="27:29" x14ac:dyDescent="0.2">
      <c r="AA105"/>
      <c r="AB105"/>
      <c r="AC105"/>
    </row>
    <row r="106" spans="27:29" x14ac:dyDescent="0.2">
      <c r="AA106"/>
      <c r="AB106"/>
      <c r="AC106"/>
    </row>
    <row r="107" spans="27:29" x14ac:dyDescent="0.2">
      <c r="AA107"/>
      <c r="AB107"/>
      <c r="AC107"/>
    </row>
    <row r="108" spans="27:29" x14ac:dyDescent="0.2">
      <c r="AA108"/>
      <c r="AB108"/>
      <c r="AC108"/>
    </row>
    <row r="109" spans="27:29" x14ac:dyDescent="0.2">
      <c r="AA109"/>
      <c r="AB109"/>
      <c r="AC109"/>
    </row>
    <row r="110" spans="27:29" x14ac:dyDescent="0.2">
      <c r="AA110"/>
      <c r="AB110"/>
      <c r="AC110"/>
    </row>
    <row r="111" spans="27:29" x14ac:dyDescent="0.2">
      <c r="AA111"/>
      <c r="AB111"/>
      <c r="AC111"/>
    </row>
    <row r="112" spans="27:29" x14ac:dyDescent="0.2">
      <c r="AA112"/>
      <c r="AB112"/>
      <c r="AC112"/>
    </row>
    <row r="113" spans="27:29" x14ac:dyDescent="0.2">
      <c r="AA113"/>
      <c r="AB113"/>
      <c r="AC113"/>
    </row>
    <row r="114" spans="27:29" x14ac:dyDescent="0.2">
      <c r="AA114"/>
      <c r="AB114"/>
      <c r="AC114"/>
    </row>
    <row r="115" spans="27:29" x14ac:dyDescent="0.2">
      <c r="AA115"/>
      <c r="AB115"/>
      <c r="AC115"/>
    </row>
    <row r="116" spans="27:29" x14ac:dyDescent="0.2">
      <c r="AA116"/>
      <c r="AB116"/>
      <c r="AC116"/>
    </row>
    <row r="117" spans="27:29" x14ac:dyDescent="0.2">
      <c r="AA117"/>
      <c r="AB117"/>
      <c r="AC117"/>
    </row>
    <row r="118" spans="27:29" x14ac:dyDescent="0.2">
      <c r="AA118"/>
      <c r="AB118"/>
      <c r="AC118"/>
    </row>
    <row r="119" spans="27:29" x14ac:dyDescent="0.2">
      <c r="AA119"/>
      <c r="AB119"/>
      <c r="AC119"/>
    </row>
    <row r="120" spans="27:29" x14ac:dyDescent="0.2">
      <c r="AA120"/>
      <c r="AB120"/>
      <c r="AC120"/>
    </row>
    <row r="121" spans="27:29" x14ac:dyDescent="0.2">
      <c r="AA121"/>
      <c r="AB121"/>
      <c r="AC121"/>
    </row>
    <row r="122" spans="27:29" x14ac:dyDescent="0.2">
      <c r="AA122"/>
      <c r="AB122"/>
      <c r="AC122"/>
    </row>
    <row r="123" spans="27:29" x14ac:dyDescent="0.2">
      <c r="AA123"/>
      <c r="AB123"/>
      <c r="AC123"/>
    </row>
    <row r="124" spans="27:29" x14ac:dyDescent="0.2">
      <c r="AA124"/>
      <c r="AB124"/>
      <c r="AC124"/>
    </row>
    <row r="125" spans="27:29" x14ac:dyDescent="0.2">
      <c r="AA125"/>
      <c r="AB125"/>
      <c r="AC125"/>
    </row>
    <row r="126" spans="27:29" x14ac:dyDescent="0.2">
      <c r="AA126"/>
      <c r="AB126"/>
      <c r="AC126"/>
    </row>
    <row r="127" spans="27:29" x14ac:dyDescent="0.2">
      <c r="AA127"/>
      <c r="AB127"/>
      <c r="AC127"/>
    </row>
    <row r="128" spans="27:29" x14ac:dyDescent="0.2">
      <c r="AA128"/>
      <c r="AB128"/>
      <c r="AC128"/>
    </row>
    <row r="129" spans="27:29" x14ac:dyDescent="0.2">
      <c r="AA129"/>
      <c r="AB129"/>
      <c r="AC129"/>
    </row>
    <row r="130" spans="27:29" x14ac:dyDescent="0.2">
      <c r="AA130"/>
      <c r="AB130"/>
      <c r="AC130"/>
    </row>
    <row r="131" spans="27:29" x14ac:dyDescent="0.2">
      <c r="AA131"/>
      <c r="AB131"/>
      <c r="AC131"/>
    </row>
    <row r="132" spans="27:29" x14ac:dyDescent="0.2">
      <c r="AA132"/>
      <c r="AB132"/>
      <c r="AC132"/>
    </row>
    <row r="133" spans="27:29" x14ac:dyDescent="0.2">
      <c r="AA133"/>
      <c r="AB133"/>
      <c r="AC133"/>
    </row>
    <row r="134" spans="27:29" x14ac:dyDescent="0.2">
      <c r="AA134"/>
      <c r="AB134"/>
      <c r="AC134"/>
    </row>
    <row r="135" spans="27:29" x14ac:dyDescent="0.2">
      <c r="AA135"/>
      <c r="AB135"/>
      <c r="AC135"/>
    </row>
    <row r="136" spans="27:29" x14ac:dyDescent="0.2">
      <c r="AA136"/>
      <c r="AB136"/>
      <c r="AC136"/>
    </row>
    <row r="137" spans="27:29" x14ac:dyDescent="0.2">
      <c r="AA137"/>
      <c r="AB137"/>
      <c r="AC137"/>
    </row>
    <row r="138" spans="27:29" x14ac:dyDescent="0.2">
      <c r="AA138"/>
      <c r="AB138"/>
      <c r="AC138"/>
    </row>
    <row r="139" spans="27:29" x14ac:dyDescent="0.2">
      <c r="AA139"/>
      <c r="AB139"/>
      <c r="AC139"/>
    </row>
    <row r="140" spans="27:29" x14ac:dyDescent="0.2">
      <c r="AA140"/>
      <c r="AB140"/>
      <c r="AC140"/>
    </row>
    <row r="141" spans="27:29" x14ac:dyDescent="0.2">
      <c r="AA141"/>
      <c r="AB141"/>
      <c r="AC141"/>
    </row>
    <row r="142" spans="27:29" x14ac:dyDescent="0.2">
      <c r="AA142"/>
      <c r="AB142"/>
      <c r="AC142"/>
    </row>
    <row r="143" spans="27:29" x14ac:dyDescent="0.2">
      <c r="AA143"/>
      <c r="AB143"/>
      <c r="AC143"/>
    </row>
    <row r="144" spans="27:29" x14ac:dyDescent="0.2">
      <c r="AA144"/>
      <c r="AB144"/>
      <c r="AC144"/>
    </row>
    <row r="145" spans="27:29" x14ac:dyDescent="0.2">
      <c r="AA145"/>
      <c r="AB145"/>
      <c r="AC145"/>
    </row>
    <row r="146" spans="27:29" x14ac:dyDescent="0.2">
      <c r="AA146"/>
      <c r="AB146"/>
      <c r="AC146"/>
    </row>
    <row r="147" spans="27:29" x14ac:dyDescent="0.2">
      <c r="AA147"/>
      <c r="AB147"/>
      <c r="AC147"/>
    </row>
    <row r="148" spans="27:29" x14ac:dyDescent="0.2">
      <c r="AA148"/>
      <c r="AB148"/>
      <c r="AC148"/>
    </row>
    <row r="149" spans="27:29" x14ac:dyDescent="0.2">
      <c r="AA149"/>
      <c r="AB149"/>
      <c r="AC149"/>
    </row>
    <row r="150" spans="27:29" x14ac:dyDescent="0.2">
      <c r="AA150"/>
      <c r="AB150"/>
      <c r="AC150"/>
    </row>
    <row r="151" spans="27:29" x14ac:dyDescent="0.2">
      <c r="AA151"/>
      <c r="AB151"/>
      <c r="AC151"/>
    </row>
    <row r="152" spans="27:29" x14ac:dyDescent="0.2">
      <c r="AA152"/>
      <c r="AB152"/>
      <c r="AC152"/>
    </row>
    <row r="153" spans="27:29" x14ac:dyDescent="0.2">
      <c r="AA153"/>
      <c r="AB153"/>
      <c r="AC153"/>
    </row>
    <row r="154" spans="27:29" x14ac:dyDescent="0.2">
      <c r="AA154"/>
      <c r="AB154"/>
      <c r="AC154"/>
    </row>
    <row r="155" spans="27:29" x14ac:dyDescent="0.2">
      <c r="AA155"/>
      <c r="AB155"/>
      <c r="AC155"/>
    </row>
    <row r="156" spans="27:29" x14ac:dyDescent="0.2">
      <c r="AA156"/>
      <c r="AB156"/>
      <c r="AC156"/>
    </row>
    <row r="157" spans="27:29" x14ac:dyDescent="0.2">
      <c r="AA157"/>
      <c r="AB157"/>
      <c r="AC157"/>
    </row>
    <row r="158" spans="27:29" x14ac:dyDescent="0.2">
      <c r="AA158"/>
      <c r="AB158"/>
      <c r="AC158"/>
    </row>
    <row r="159" spans="27:29" x14ac:dyDescent="0.2">
      <c r="AA159"/>
      <c r="AB159"/>
      <c r="AC159"/>
    </row>
    <row r="160" spans="27:29" x14ac:dyDescent="0.2">
      <c r="AA160"/>
      <c r="AB160"/>
      <c r="AC160"/>
    </row>
    <row r="161" spans="27:29" x14ac:dyDescent="0.2">
      <c r="AA161"/>
      <c r="AB161"/>
      <c r="AC161"/>
    </row>
    <row r="162" spans="27:29" x14ac:dyDescent="0.2">
      <c r="AA162"/>
      <c r="AB162"/>
      <c r="AC162"/>
    </row>
    <row r="163" spans="27:29" x14ac:dyDescent="0.2">
      <c r="AA163"/>
      <c r="AB163"/>
      <c r="AC163"/>
    </row>
    <row r="164" spans="27:29" x14ac:dyDescent="0.2">
      <c r="AA164"/>
      <c r="AB164"/>
      <c r="AC164"/>
    </row>
    <row r="165" spans="27:29" x14ac:dyDescent="0.2">
      <c r="AA165"/>
      <c r="AB165"/>
      <c r="AC165"/>
    </row>
    <row r="166" spans="27:29" x14ac:dyDescent="0.2">
      <c r="AA166"/>
      <c r="AB166"/>
      <c r="AC166"/>
    </row>
    <row r="167" spans="27:29" x14ac:dyDescent="0.2">
      <c r="AA167"/>
      <c r="AB167"/>
      <c r="AC167"/>
    </row>
    <row r="168" spans="27:29" x14ac:dyDescent="0.2">
      <c r="AA168"/>
      <c r="AB168"/>
      <c r="AC168"/>
    </row>
    <row r="169" spans="27:29" x14ac:dyDescent="0.2">
      <c r="AA169"/>
      <c r="AB169"/>
      <c r="AC169"/>
    </row>
    <row r="170" spans="27:29" x14ac:dyDescent="0.2">
      <c r="AA170"/>
      <c r="AB170"/>
      <c r="AC170"/>
    </row>
    <row r="171" spans="27:29" x14ac:dyDescent="0.2">
      <c r="AA171"/>
      <c r="AB171"/>
      <c r="AC171"/>
    </row>
    <row r="172" spans="27:29" x14ac:dyDescent="0.2">
      <c r="AA172"/>
      <c r="AB172"/>
      <c r="AC172"/>
    </row>
    <row r="173" spans="27:29" x14ac:dyDescent="0.2">
      <c r="AA173"/>
      <c r="AB173"/>
      <c r="AC173"/>
    </row>
    <row r="174" spans="27:29" x14ac:dyDescent="0.2">
      <c r="AA174"/>
      <c r="AB174"/>
      <c r="AC174"/>
    </row>
    <row r="175" spans="27:29" x14ac:dyDescent="0.2">
      <c r="AA175"/>
      <c r="AB175"/>
      <c r="AC175"/>
    </row>
    <row r="176" spans="27:29" x14ac:dyDescent="0.2">
      <c r="AA176"/>
      <c r="AB176"/>
      <c r="AC176"/>
    </row>
    <row r="177" spans="27:29" x14ac:dyDescent="0.2">
      <c r="AA177"/>
      <c r="AB177"/>
      <c r="AC177"/>
    </row>
    <row r="178" spans="27:29" x14ac:dyDescent="0.2">
      <c r="AA178"/>
      <c r="AB178"/>
      <c r="AC178"/>
    </row>
    <row r="179" spans="27:29" x14ac:dyDescent="0.2">
      <c r="AA179"/>
      <c r="AB179"/>
      <c r="AC179"/>
    </row>
    <row r="180" spans="27:29" x14ac:dyDescent="0.2">
      <c r="AA180"/>
      <c r="AB180"/>
      <c r="AC180"/>
    </row>
    <row r="181" spans="27:29" x14ac:dyDescent="0.2">
      <c r="AA181"/>
      <c r="AB181"/>
      <c r="AC181"/>
    </row>
    <row r="182" spans="27:29" x14ac:dyDescent="0.2">
      <c r="AA182"/>
      <c r="AB182"/>
      <c r="AC182"/>
    </row>
    <row r="183" spans="27:29" x14ac:dyDescent="0.2">
      <c r="AA183"/>
      <c r="AB183"/>
      <c r="AC183"/>
    </row>
    <row r="184" spans="27:29" x14ac:dyDescent="0.2">
      <c r="AA184"/>
      <c r="AB184"/>
      <c r="AC184"/>
    </row>
    <row r="185" spans="27:29" x14ac:dyDescent="0.2">
      <c r="AA185"/>
      <c r="AB185"/>
      <c r="AC185"/>
    </row>
    <row r="186" spans="27:29" x14ac:dyDescent="0.2">
      <c r="AA186"/>
      <c r="AB186"/>
      <c r="AC186"/>
    </row>
    <row r="187" spans="27:29" x14ac:dyDescent="0.2">
      <c r="AA187"/>
      <c r="AB187"/>
      <c r="AC187"/>
    </row>
    <row r="188" spans="27:29" x14ac:dyDescent="0.2">
      <c r="AA188"/>
      <c r="AB188"/>
      <c r="AC188"/>
    </row>
    <row r="189" spans="27:29" x14ac:dyDescent="0.2">
      <c r="AA189"/>
      <c r="AB189"/>
      <c r="AC189"/>
    </row>
    <row r="190" spans="27:29" x14ac:dyDescent="0.2">
      <c r="AA190"/>
      <c r="AB190"/>
      <c r="AC190"/>
    </row>
    <row r="191" spans="27:29" x14ac:dyDescent="0.2">
      <c r="AA191"/>
      <c r="AB191"/>
      <c r="AC191"/>
    </row>
    <row r="192" spans="27:29" x14ac:dyDescent="0.2">
      <c r="AA192"/>
      <c r="AB192"/>
      <c r="AC192"/>
    </row>
    <row r="193" spans="27:29" x14ac:dyDescent="0.2">
      <c r="AA193"/>
      <c r="AB193"/>
      <c r="AC193"/>
    </row>
    <row r="194" spans="27:29" x14ac:dyDescent="0.2">
      <c r="AA194"/>
      <c r="AB194"/>
      <c r="AC194"/>
    </row>
    <row r="195" spans="27:29" x14ac:dyDescent="0.2">
      <c r="AA195"/>
      <c r="AB195"/>
      <c r="AC195"/>
    </row>
    <row r="196" spans="27:29" x14ac:dyDescent="0.2">
      <c r="AA196"/>
      <c r="AB196"/>
      <c r="AC196"/>
    </row>
    <row r="197" spans="27:29" x14ac:dyDescent="0.2">
      <c r="AA197"/>
      <c r="AB197"/>
      <c r="AC197"/>
    </row>
    <row r="198" spans="27:29" x14ac:dyDescent="0.2">
      <c r="AA198"/>
      <c r="AB198"/>
      <c r="AC198"/>
    </row>
    <row r="199" spans="27:29" x14ac:dyDescent="0.2">
      <c r="AA199"/>
      <c r="AB199"/>
      <c r="AC199"/>
    </row>
    <row r="200" spans="27:29" x14ac:dyDescent="0.2">
      <c r="AA200"/>
      <c r="AB200"/>
      <c r="AC200"/>
    </row>
    <row r="201" spans="27:29" x14ac:dyDescent="0.2">
      <c r="AA201"/>
      <c r="AB201"/>
      <c r="AC201"/>
    </row>
    <row r="202" spans="27:29" x14ac:dyDescent="0.2">
      <c r="AA202"/>
      <c r="AB202"/>
      <c r="AC202"/>
    </row>
    <row r="203" spans="27:29" x14ac:dyDescent="0.2">
      <c r="AA203"/>
      <c r="AB203"/>
      <c r="AC203"/>
    </row>
    <row r="204" spans="27:29" x14ac:dyDescent="0.2">
      <c r="AA204"/>
      <c r="AB204"/>
      <c r="AC204"/>
    </row>
    <row r="205" spans="27:29" x14ac:dyDescent="0.2">
      <c r="AA205"/>
      <c r="AB205"/>
      <c r="AC205"/>
    </row>
    <row r="206" spans="27:29" x14ac:dyDescent="0.2">
      <c r="AA206"/>
      <c r="AB206"/>
      <c r="AC206"/>
    </row>
    <row r="207" spans="27:29" x14ac:dyDescent="0.2">
      <c r="AA207"/>
      <c r="AB207"/>
      <c r="AC207"/>
    </row>
    <row r="208" spans="27:29" x14ac:dyDescent="0.2">
      <c r="AA208"/>
      <c r="AB208"/>
      <c r="AC208"/>
    </row>
    <row r="209" spans="27:29" x14ac:dyDescent="0.2">
      <c r="AA209"/>
      <c r="AB209"/>
      <c r="AC209"/>
    </row>
    <row r="210" spans="27:29" x14ac:dyDescent="0.2">
      <c r="AA210"/>
      <c r="AB210"/>
      <c r="AC210"/>
    </row>
    <row r="211" spans="27:29" x14ac:dyDescent="0.2">
      <c r="AA211"/>
      <c r="AB211"/>
      <c r="AC211"/>
    </row>
    <row r="212" spans="27:29" x14ac:dyDescent="0.2">
      <c r="AA212"/>
      <c r="AB212"/>
      <c r="AC212"/>
    </row>
    <row r="213" spans="27:29" x14ac:dyDescent="0.2">
      <c r="AA213"/>
      <c r="AB213"/>
      <c r="AC213"/>
    </row>
    <row r="214" spans="27:29" x14ac:dyDescent="0.2">
      <c r="AA214"/>
      <c r="AB214"/>
      <c r="AC214"/>
    </row>
    <row r="215" spans="27:29" x14ac:dyDescent="0.2">
      <c r="AA215"/>
      <c r="AB215"/>
      <c r="AC215"/>
    </row>
    <row r="216" spans="27:29" x14ac:dyDescent="0.2">
      <c r="AA216"/>
      <c r="AB216"/>
      <c r="AC216"/>
    </row>
    <row r="217" spans="27:29" x14ac:dyDescent="0.2">
      <c r="AA217"/>
      <c r="AB217"/>
      <c r="AC217"/>
    </row>
    <row r="218" spans="27:29" x14ac:dyDescent="0.2">
      <c r="AA218"/>
      <c r="AB218"/>
      <c r="AC218"/>
    </row>
    <row r="219" spans="27:29" x14ac:dyDescent="0.2">
      <c r="AA219"/>
      <c r="AB219"/>
      <c r="AC219"/>
    </row>
    <row r="220" spans="27:29" x14ac:dyDescent="0.2">
      <c r="AA220"/>
      <c r="AB220"/>
      <c r="AC220"/>
    </row>
    <row r="221" spans="27:29" x14ac:dyDescent="0.2">
      <c r="AA221"/>
      <c r="AB221"/>
      <c r="AC221"/>
    </row>
    <row r="222" spans="27:29" x14ac:dyDescent="0.2">
      <c r="AA222"/>
      <c r="AB222"/>
      <c r="AC222"/>
    </row>
    <row r="223" spans="27:29" x14ac:dyDescent="0.2">
      <c r="AA223"/>
      <c r="AB223"/>
      <c r="AC223"/>
    </row>
    <row r="224" spans="27:29" x14ac:dyDescent="0.2">
      <c r="AA224"/>
      <c r="AB224"/>
      <c r="AC224"/>
    </row>
    <row r="225" spans="27:29" x14ac:dyDescent="0.2">
      <c r="AA225"/>
      <c r="AB225"/>
      <c r="AC225"/>
    </row>
    <row r="226" spans="27:29" x14ac:dyDescent="0.2">
      <c r="AA226"/>
      <c r="AB226"/>
      <c r="AC226"/>
    </row>
    <row r="227" spans="27:29" x14ac:dyDescent="0.2">
      <c r="AA227"/>
      <c r="AB227"/>
      <c r="AC227"/>
    </row>
    <row r="228" spans="27:29" x14ac:dyDescent="0.2">
      <c r="AA228"/>
      <c r="AB228"/>
      <c r="AC228"/>
    </row>
    <row r="229" spans="27:29" x14ac:dyDescent="0.2">
      <c r="AA229"/>
      <c r="AB229"/>
      <c r="AC229"/>
    </row>
    <row r="230" spans="27:29" x14ac:dyDescent="0.2">
      <c r="AA230"/>
      <c r="AB230"/>
      <c r="AC230"/>
    </row>
    <row r="231" spans="27:29" x14ac:dyDescent="0.2">
      <c r="AA231"/>
      <c r="AB231"/>
      <c r="AC231"/>
    </row>
    <row r="232" spans="27:29" x14ac:dyDescent="0.2">
      <c r="AA232"/>
      <c r="AB232"/>
      <c r="AC232"/>
    </row>
    <row r="233" spans="27:29" x14ac:dyDescent="0.2">
      <c r="AA233"/>
      <c r="AB233"/>
      <c r="AC233"/>
    </row>
    <row r="234" spans="27:29" x14ac:dyDescent="0.2">
      <c r="AA234"/>
      <c r="AB234"/>
      <c r="AC234"/>
    </row>
    <row r="235" spans="27:29" x14ac:dyDescent="0.2">
      <c r="AA235"/>
      <c r="AB235"/>
      <c r="AC235"/>
    </row>
    <row r="236" spans="27:29" x14ac:dyDescent="0.2">
      <c r="AA236"/>
      <c r="AB236"/>
      <c r="AC236"/>
    </row>
    <row r="237" spans="27:29" x14ac:dyDescent="0.2">
      <c r="AA237"/>
      <c r="AB237"/>
      <c r="AC237"/>
    </row>
    <row r="238" spans="27:29" x14ac:dyDescent="0.2">
      <c r="AA238"/>
      <c r="AB238"/>
      <c r="AC238"/>
    </row>
    <row r="239" spans="27:29" x14ac:dyDescent="0.2">
      <c r="AA239"/>
      <c r="AB239"/>
      <c r="AC239"/>
    </row>
    <row r="240" spans="27:29" x14ac:dyDescent="0.2">
      <c r="AA240"/>
      <c r="AB240"/>
      <c r="AC240"/>
    </row>
    <row r="241" spans="27:29" x14ac:dyDescent="0.2">
      <c r="AA241"/>
      <c r="AB241"/>
      <c r="AC241"/>
    </row>
    <row r="242" spans="27:29" x14ac:dyDescent="0.2">
      <c r="AA242"/>
      <c r="AB242"/>
      <c r="AC242"/>
    </row>
    <row r="243" spans="27:29" x14ac:dyDescent="0.2">
      <c r="AA243"/>
      <c r="AB243"/>
      <c r="AC243"/>
    </row>
    <row r="244" spans="27:29" x14ac:dyDescent="0.2">
      <c r="AA244"/>
      <c r="AB244"/>
      <c r="AC244"/>
    </row>
    <row r="245" spans="27:29" x14ac:dyDescent="0.2">
      <c r="AA245"/>
      <c r="AB245"/>
      <c r="AC245"/>
    </row>
    <row r="246" spans="27:29" x14ac:dyDescent="0.2">
      <c r="AA246"/>
      <c r="AB246"/>
      <c r="AC246"/>
    </row>
    <row r="247" spans="27:29" x14ac:dyDescent="0.2">
      <c r="AA247"/>
      <c r="AB247"/>
      <c r="AC247"/>
    </row>
    <row r="248" spans="27:29" x14ac:dyDescent="0.2">
      <c r="AA248"/>
      <c r="AB248"/>
      <c r="AC248"/>
    </row>
    <row r="249" spans="27:29" x14ac:dyDescent="0.2">
      <c r="AA249"/>
      <c r="AB249"/>
      <c r="AC249"/>
    </row>
    <row r="250" spans="27:29" x14ac:dyDescent="0.2">
      <c r="AA250"/>
      <c r="AB250"/>
      <c r="AC250"/>
    </row>
    <row r="251" spans="27:29" x14ac:dyDescent="0.2">
      <c r="AA251"/>
      <c r="AB251"/>
      <c r="AC251"/>
    </row>
    <row r="252" spans="27:29" x14ac:dyDescent="0.2">
      <c r="AA252"/>
      <c r="AB252"/>
      <c r="AC252"/>
    </row>
    <row r="253" spans="27:29" x14ac:dyDescent="0.2">
      <c r="AA253"/>
      <c r="AB253"/>
      <c r="AC253"/>
    </row>
    <row r="254" spans="27:29" x14ac:dyDescent="0.2">
      <c r="AA254"/>
      <c r="AB254"/>
      <c r="AC254"/>
    </row>
    <row r="255" spans="27:29" x14ac:dyDescent="0.2">
      <c r="AA255"/>
      <c r="AB255"/>
      <c r="AC255"/>
    </row>
    <row r="256" spans="27:29" x14ac:dyDescent="0.2">
      <c r="AA256"/>
      <c r="AB256"/>
      <c r="AC256"/>
    </row>
    <row r="257" spans="27:29" x14ac:dyDescent="0.2">
      <c r="AA257"/>
      <c r="AB257"/>
      <c r="AC257"/>
    </row>
    <row r="258" spans="27:29" x14ac:dyDescent="0.2">
      <c r="AA258"/>
      <c r="AB258"/>
      <c r="AC258"/>
    </row>
    <row r="259" spans="27:29" x14ac:dyDescent="0.2">
      <c r="AA259"/>
      <c r="AB259"/>
      <c r="AC259"/>
    </row>
    <row r="260" spans="27:29" x14ac:dyDescent="0.2">
      <c r="AA260"/>
      <c r="AB260"/>
      <c r="AC260"/>
    </row>
    <row r="261" spans="27:29" x14ac:dyDescent="0.2">
      <c r="AA261"/>
      <c r="AB261"/>
      <c r="AC261"/>
    </row>
    <row r="262" spans="27:29" x14ac:dyDescent="0.2">
      <c r="AA262"/>
      <c r="AB262"/>
      <c r="AC262"/>
    </row>
    <row r="263" spans="27:29" x14ac:dyDescent="0.2">
      <c r="AA263"/>
      <c r="AB263"/>
      <c r="AC263"/>
    </row>
    <row r="264" spans="27:29" x14ac:dyDescent="0.2">
      <c r="AA264"/>
      <c r="AB264"/>
      <c r="AC264"/>
    </row>
    <row r="265" spans="27:29" x14ac:dyDescent="0.2">
      <c r="AA265"/>
      <c r="AB265"/>
      <c r="AC265"/>
    </row>
    <row r="266" spans="27:29" x14ac:dyDescent="0.2">
      <c r="AA266"/>
      <c r="AB266"/>
      <c r="AC266"/>
    </row>
    <row r="267" spans="27:29" x14ac:dyDescent="0.2">
      <c r="AA267"/>
      <c r="AB267"/>
      <c r="AC267"/>
    </row>
    <row r="268" spans="27:29" x14ac:dyDescent="0.2">
      <c r="AA268"/>
      <c r="AB268"/>
      <c r="AC268"/>
    </row>
    <row r="269" spans="27:29" x14ac:dyDescent="0.2">
      <c r="AA269"/>
      <c r="AB269"/>
      <c r="AC269"/>
    </row>
    <row r="270" spans="27:29" x14ac:dyDescent="0.2">
      <c r="AA270"/>
      <c r="AB270"/>
      <c r="AC270"/>
    </row>
    <row r="271" spans="27:29" x14ac:dyDescent="0.2">
      <c r="AA271"/>
      <c r="AB271"/>
      <c r="AC271"/>
    </row>
    <row r="272" spans="27:29" x14ac:dyDescent="0.2">
      <c r="AA272"/>
      <c r="AB272"/>
      <c r="AC272"/>
    </row>
    <row r="273" spans="27:29" x14ac:dyDescent="0.2">
      <c r="AA273"/>
      <c r="AB273"/>
      <c r="AC273"/>
    </row>
    <row r="274" spans="27:29" x14ac:dyDescent="0.2">
      <c r="AA274"/>
      <c r="AB274"/>
      <c r="AC274"/>
    </row>
    <row r="275" spans="27:29" x14ac:dyDescent="0.2">
      <c r="AA275"/>
      <c r="AB275"/>
      <c r="AC275"/>
    </row>
    <row r="276" spans="27:29" x14ac:dyDescent="0.2">
      <c r="AA276"/>
      <c r="AB276"/>
      <c r="AC276"/>
    </row>
    <row r="277" spans="27:29" x14ac:dyDescent="0.2">
      <c r="AA277"/>
      <c r="AB277"/>
      <c r="AC277"/>
    </row>
    <row r="278" spans="27:29" x14ac:dyDescent="0.2">
      <c r="AA278"/>
      <c r="AB278"/>
      <c r="AC278"/>
    </row>
    <row r="279" spans="27:29" x14ac:dyDescent="0.2">
      <c r="AA279"/>
      <c r="AB279"/>
      <c r="AC279"/>
    </row>
    <row r="280" spans="27:29" x14ac:dyDescent="0.2">
      <c r="AA280"/>
      <c r="AB280"/>
      <c r="AC280"/>
    </row>
    <row r="281" spans="27:29" x14ac:dyDescent="0.2">
      <c r="AA281"/>
      <c r="AB281"/>
      <c r="AC281"/>
    </row>
    <row r="282" spans="27:29" x14ac:dyDescent="0.2">
      <c r="AA282"/>
      <c r="AB282"/>
      <c r="AC282"/>
    </row>
    <row r="283" spans="27:29" x14ac:dyDescent="0.2">
      <c r="AA283"/>
      <c r="AB283"/>
      <c r="AC283"/>
    </row>
    <row r="284" spans="27:29" x14ac:dyDescent="0.2">
      <c r="AA284"/>
      <c r="AB284"/>
      <c r="AC284"/>
    </row>
    <row r="285" spans="27:29" x14ac:dyDescent="0.2">
      <c r="AA285"/>
      <c r="AB285"/>
      <c r="AC285"/>
    </row>
    <row r="286" spans="27:29" x14ac:dyDescent="0.2">
      <c r="AA286"/>
      <c r="AB286"/>
      <c r="AC286"/>
    </row>
    <row r="287" spans="27:29" x14ac:dyDescent="0.2">
      <c r="AA287"/>
      <c r="AB287"/>
      <c r="AC287"/>
    </row>
    <row r="288" spans="27:29" x14ac:dyDescent="0.2">
      <c r="AA288"/>
      <c r="AB288"/>
      <c r="AC288"/>
    </row>
    <row r="289" spans="27:29" x14ac:dyDescent="0.2">
      <c r="AA289"/>
      <c r="AB289"/>
      <c r="AC289"/>
    </row>
    <row r="290" spans="27:29" x14ac:dyDescent="0.2">
      <c r="AA290"/>
      <c r="AB290"/>
      <c r="AC290"/>
    </row>
    <row r="291" spans="27:29" x14ac:dyDescent="0.2">
      <c r="AA291"/>
      <c r="AB291"/>
      <c r="AC291"/>
    </row>
    <row r="292" spans="27:29" x14ac:dyDescent="0.2">
      <c r="AA292"/>
      <c r="AB292"/>
      <c r="AC292"/>
    </row>
    <row r="293" spans="27:29" x14ac:dyDescent="0.2">
      <c r="AA293"/>
      <c r="AB293"/>
      <c r="AC293"/>
    </row>
    <row r="294" spans="27:29" x14ac:dyDescent="0.2">
      <c r="AA294"/>
      <c r="AB294"/>
      <c r="AC294"/>
    </row>
    <row r="295" spans="27:29" x14ac:dyDescent="0.2">
      <c r="AA295"/>
      <c r="AB295"/>
      <c r="AC295"/>
    </row>
    <row r="296" spans="27:29" x14ac:dyDescent="0.2">
      <c r="AA296"/>
      <c r="AB296"/>
      <c r="AC296"/>
    </row>
    <row r="297" spans="27:29" x14ac:dyDescent="0.2">
      <c r="AA297"/>
      <c r="AB297"/>
      <c r="AC297"/>
    </row>
    <row r="298" spans="27:29" x14ac:dyDescent="0.2">
      <c r="AA298"/>
      <c r="AB298"/>
      <c r="AC298"/>
    </row>
    <row r="299" spans="27:29" x14ac:dyDescent="0.2">
      <c r="AA299"/>
      <c r="AB299"/>
      <c r="AC299"/>
    </row>
    <row r="300" spans="27:29" x14ac:dyDescent="0.2">
      <c r="AA300"/>
      <c r="AB300"/>
      <c r="AC300"/>
    </row>
    <row r="301" spans="27:29" x14ac:dyDescent="0.2">
      <c r="AA301"/>
      <c r="AB301"/>
      <c r="AC301"/>
    </row>
    <row r="302" spans="27:29" x14ac:dyDescent="0.2">
      <c r="AA302"/>
      <c r="AB302"/>
      <c r="AC302"/>
    </row>
    <row r="303" spans="27:29" x14ac:dyDescent="0.2">
      <c r="AA303"/>
      <c r="AB303"/>
      <c r="AC303"/>
    </row>
    <row r="304" spans="27:29" x14ac:dyDescent="0.2">
      <c r="AA304"/>
      <c r="AB304"/>
      <c r="AC304"/>
    </row>
    <row r="305" spans="27:29" x14ac:dyDescent="0.2">
      <c r="AA305"/>
      <c r="AB305"/>
      <c r="AC305"/>
    </row>
    <row r="306" spans="27:29" x14ac:dyDescent="0.2">
      <c r="AA306"/>
      <c r="AB306"/>
      <c r="AC306"/>
    </row>
    <row r="307" spans="27:29" x14ac:dyDescent="0.2">
      <c r="AA307"/>
      <c r="AB307"/>
      <c r="AC307"/>
    </row>
    <row r="308" spans="27:29" x14ac:dyDescent="0.2">
      <c r="AA308"/>
      <c r="AB308"/>
      <c r="AC308"/>
    </row>
    <row r="309" spans="27:29" x14ac:dyDescent="0.2">
      <c r="AA309"/>
      <c r="AB309"/>
      <c r="AC309"/>
    </row>
    <row r="310" spans="27:29" x14ac:dyDescent="0.2">
      <c r="AA310"/>
      <c r="AB310"/>
      <c r="AC310"/>
    </row>
    <row r="311" spans="27:29" x14ac:dyDescent="0.2">
      <c r="AA311"/>
      <c r="AB311"/>
      <c r="AC311"/>
    </row>
    <row r="312" spans="27:29" x14ac:dyDescent="0.2">
      <c r="AA312"/>
      <c r="AB312"/>
      <c r="AC312"/>
    </row>
    <row r="313" spans="27:29" x14ac:dyDescent="0.2">
      <c r="AA313"/>
      <c r="AB313"/>
      <c r="AC313"/>
    </row>
    <row r="314" spans="27:29" x14ac:dyDescent="0.2">
      <c r="AA314"/>
      <c r="AB314"/>
      <c r="AC314"/>
    </row>
    <row r="315" spans="27:29" x14ac:dyDescent="0.2">
      <c r="AA315"/>
      <c r="AB315"/>
      <c r="AC315"/>
    </row>
    <row r="316" spans="27:29" x14ac:dyDescent="0.2">
      <c r="AA316"/>
      <c r="AB316"/>
      <c r="AC316"/>
    </row>
    <row r="317" spans="27:29" x14ac:dyDescent="0.2">
      <c r="AA317"/>
      <c r="AB317"/>
      <c r="AC317"/>
    </row>
    <row r="318" spans="27:29" x14ac:dyDescent="0.2">
      <c r="AA318"/>
      <c r="AB318"/>
      <c r="AC318"/>
    </row>
    <row r="319" spans="27:29" x14ac:dyDescent="0.2">
      <c r="AA319"/>
      <c r="AB319"/>
      <c r="AC319"/>
    </row>
    <row r="320" spans="27:29" x14ac:dyDescent="0.2">
      <c r="AA320"/>
      <c r="AB320"/>
      <c r="AC320"/>
    </row>
    <row r="321" spans="27:29" x14ac:dyDescent="0.2">
      <c r="AA321"/>
      <c r="AB321"/>
      <c r="AC321"/>
    </row>
    <row r="322" spans="27:29" x14ac:dyDescent="0.2">
      <c r="AA322"/>
      <c r="AB322"/>
      <c r="AC322"/>
    </row>
    <row r="323" spans="27:29" x14ac:dyDescent="0.2">
      <c r="AA323"/>
      <c r="AB323"/>
      <c r="AC323"/>
    </row>
    <row r="324" spans="27:29" x14ac:dyDescent="0.2">
      <c r="AA324"/>
      <c r="AB324"/>
      <c r="AC324"/>
    </row>
    <row r="325" spans="27:29" x14ac:dyDescent="0.2">
      <c r="AA325"/>
      <c r="AB325"/>
      <c r="AC325"/>
    </row>
    <row r="326" spans="27:29" x14ac:dyDescent="0.2">
      <c r="AA326"/>
      <c r="AB326"/>
      <c r="AC326"/>
    </row>
    <row r="327" spans="27:29" x14ac:dyDescent="0.2">
      <c r="AA327"/>
      <c r="AB327"/>
      <c r="AC327"/>
    </row>
    <row r="328" spans="27:29" x14ac:dyDescent="0.2">
      <c r="AA328"/>
      <c r="AB328"/>
      <c r="AC328"/>
    </row>
    <row r="329" spans="27:29" x14ac:dyDescent="0.2">
      <c r="AA329"/>
      <c r="AB329"/>
      <c r="AC329"/>
    </row>
    <row r="330" spans="27:29" x14ac:dyDescent="0.2">
      <c r="AA330"/>
      <c r="AB330"/>
      <c r="AC330"/>
    </row>
    <row r="331" spans="27:29" x14ac:dyDescent="0.2">
      <c r="AA331"/>
      <c r="AB331"/>
      <c r="AC331"/>
    </row>
    <row r="332" spans="27:29" x14ac:dyDescent="0.2">
      <c r="AA332"/>
      <c r="AB332"/>
      <c r="AC332"/>
    </row>
    <row r="333" spans="27:29" x14ac:dyDescent="0.2">
      <c r="AA333"/>
      <c r="AB333"/>
      <c r="AC333"/>
    </row>
    <row r="334" spans="27:29" x14ac:dyDescent="0.2">
      <c r="AA334"/>
      <c r="AB334"/>
      <c r="AC334"/>
    </row>
    <row r="335" spans="27:29" x14ac:dyDescent="0.2">
      <c r="AA335"/>
      <c r="AB335"/>
      <c r="AC335"/>
    </row>
    <row r="336" spans="27:29" x14ac:dyDescent="0.2">
      <c r="AA336"/>
      <c r="AB336"/>
      <c r="AC336"/>
    </row>
    <row r="337" spans="27:29" x14ac:dyDescent="0.2">
      <c r="AA337"/>
      <c r="AB337"/>
      <c r="AC337"/>
    </row>
    <row r="338" spans="27:29" x14ac:dyDescent="0.2">
      <c r="AA338"/>
      <c r="AB338"/>
      <c r="AC338"/>
    </row>
    <row r="339" spans="27:29" x14ac:dyDescent="0.2">
      <c r="AA339"/>
      <c r="AB339"/>
      <c r="AC339"/>
    </row>
    <row r="340" spans="27:29" x14ac:dyDescent="0.2">
      <c r="AA340"/>
      <c r="AB340"/>
      <c r="AC340"/>
    </row>
    <row r="341" spans="27:29" x14ac:dyDescent="0.2">
      <c r="AA341"/>
      <c r="AB341"/>
      <c r="AC341"/>
    </row>
    <row r="342" spans="27:29" x14ac:dyDescent="0.2">
      <c r="AA342"/>
      <c r="AB342"/>
      <c r="AC342"/>
    </row>
    <row r="343" spans="27:29" x14ac:dyDescent="0.2">
      <c r="AA343"/>
      <c r="AB343"/>
      <c r="AC343"/>
    </row>
    <row r="344" spans="27:29" x14ac:dyDescent="0.2">
      <c r="AA344"/>
      <c r="AB344"/>
      <c r="AC344"/>
    </row>
    <row r="345" spans="27:29" x14ac:dyDescent="0.2">
      <c r="AA345"/>
      <c r="AB345"/>
      <c r="AC345"/>
    </row>
    <row r="346" spans="27:29" x14ac:dyDescent="0.2">
      <c r="AA346"/>
      <c r="AB346"/>
      <c r="AC346"/>
    </row>
    <row r="347" spans="27:29" x14ac:dyDescent="0.2">
      <c r="AA347"/>
      <c r="AB347"/>
      <c r="AC347"/>
    </row>
    <row r="348" spans="27:29" x14ac:dyDescent="0.2">
      <c r="AA348"/>
      <c r="AB348"/>
      <c r="AC348"/>
    </row>
    <row r="349" spans="27:29" x14ac:dyDescent="0.2">
      <c r="AA349"/>
      <c r="AB349"/>
      <c r="AC349"/>
    </row>
    <row r="350" spans="27:29" x14ac:dyDescent="0.2">
      <c r="AA350"/>
      <c r="AB350"/>
      <c r="AC350"/>
    </row>
    <row r="351" spans="27:29" x14ac:dyDescent="0.2">
      <c r="AA351"/>
      <c r="AB351"/>
      <c r="AC351"/>
    </row>
    <row r="352" spans="27:29" x14ac:dyDescent="0.2">
      <c r="AA352"/>
      <c r="AB352"/>
      <c r="AC352"/>
    </row>
    <row r="353" spans="27:29" x14ac:dyDescent="0.2">
      <c r="AA353"/>
      <c r="AB353"/>
      <c r="AC353"/>
    </row>
    <row r="354" spans="27:29" x14ac:dyDescent="0.2">
      <c r="AA354"/>
      <c r="AB354"/>
      <c r="AC354"/>
    </row>
    <row r="355" spans="27:29" x14ac:dyDescent="0.2">
      <c r="AA355"/>
      <c r="AB355"/>
      <c r="AC355"/>
    </row>
    <row r="356" spans="27:29" x14ac:dyDescent="0.2">
      <c r="AA356"/>
      <c r="AB356"/>
      <c r="AC356"/>
    </row>
    <row r="357" spans="27:29" x14ac:dyDescent="0.2">
      <c r="AA357"/>
      <c r="AB357"/>
      <c r="AC357"/>
    </row>
    <row r="358" spans="27:29" x14ac:dyDescent="0.2">
      <c r="AA358"/>
      <c r="AB358"/>
      <c r="AC358"/>
    </row>
    <row r="359" spans="27:29" x14ac:dyDescent="0.2">
      <c r="AA359"/>
      <c r="AB359"/>
      <c r="AC359"/>
    </row>
    <row r="360" spans="27:29" x14ac:dyDescent="0.2">
      <c r="AA360"/>
      <c r="AB360"/>
      <c r="AC360"/>
    </row>
    <row r="361" spans="27:29" x14ac:dyDescent="0.2">
      <c r="AA361"/>
      <c r="AB361"/>
      <c r="AC361"/>
    </row>
    <row r="362" spans="27:29" x14ac:dyDescent="0.2">
      <c r="AA362"/>
      <c r="AB362"/>
      <c r="AC362"/>
    </row>
    <row r="363" spans="27:29" x14ac:dyDescent="0.2">
      <c r="AA363"/>
      <c r="AB363"/>
      <c r="AC363"/>
    </row>
    <row r="364" spans="27:29" x14ac:dyDescent="0.2">
      <c r="AA364"/>
      <c r="AB364"/>
      <c r="AC364"/>
    </row>
    <row r="365" spans="27:29" x14ac:dyDescent="0.2">
      <c r="AA365"/>
      <c r="AB365"/>
      <c r="AC365"/>
    </row>
    <row r="366" spans="27:29" x14ac:dyDescent="0.2">
      <c r="AA366"/>
      <c r="AB366"/>
      <c r="AC366"/>
    </row>
    <row r="367" spans="27:29" x14ac:dyDescent="0.2">
      <c r="AA367"/>
      <c r="AB367"/>
      <c r="AC367"/>
    </row>
    <row r="368" spans="27:29" x14ac:dyDescent="0.2">
      <c r="AA368"/>
      <c r="AB368"/>
      <c r="AC368"/>
    </row>
    <row r="369" spans="27:29" x14ac:dyDescent="0.2">
      <c r="AA369"/>
      <c r="AB369"/>
      <c r="AC369"/>
    </row>
    <row r="370" spans="27:29" x14ac:dyDescent="0.2">
      <c r="AA370"/>
      <c r="AB370"/>
      <c r="AC370"/>
    </row>
    <row r="371" spans="27:29" x14ac:dyDescent="0.2">
      <c r="AA371"/>
      <c r="AB371"/>
      <c r="AC371"/>
    </row>
    <row r="372" spans="27:29" x14ac:dyDescent="0.2">
      <c r="AA372"/>
      <c r="AB372"/>
      <c r="AC372"/>
    </row>
    <row r="373" spans="27:29" x14ac:dyDescent="0.2">
      <c r="AA373"/>
      <c r="AB373"/>
      <c r="AC373"/>
    </row>
    <row r="374" spans="27:29" x14ac:dyDescent="0.2">
      <c r="AA374"/>
      <c r="AB374"/>
      <c r="AC374"/>
    </row>
    <row r="375" spans="27:29" x14ac:dyDescent="0.2">
      <c r="AA375"/>
      <c r="AB375"/>
      <c r="AC375"/>
    </row>
    <row r="376" spans="27:29" x14ac:dyDescent="0.2">
      <c r="AA376"/>
      <c r="AB376"/>
      <c r="AC376"/>
    </row>
    <row r="377" spans="27:29" x14ac:dyDescent="0.2">
      <c r="AA377"/>
      <c r="AB377"/>
      <c r="AC377"/>
    </row>
    <row r="378" spans="27:29" x14ac:dyDescent="0.2">
      <c r="AA378"/>
      <c r="AB378"/>
      <c r="AC378"/>
    </row>
    <row r="379" spans="27:29" x14ac:dyDescent="0.2">
      <c r="AA379"/>
      <c r="AB379"/>
      <c r="AC379"/>
    </row>
    <row r="380" spans="27:29" x14ac:dyDescent="0.2">
      <c r="AA380"/>
      <c r="AB380"/>
      <c r="AC380"/>
    </row>
    <row r="381" spans="27:29" x14ac:dyDescent="0.2">
      <c r="AA381"/>
      <c r="AB381"/>
      <c r="AC381"/>
    </row>
    <row r="382" spans="27:29" x14ac:dyDescent="0.2">
      <c r="AA382"/>
      <c r="AB382"/>
      <c r="AC382"/>
    </row>
    <row r="383" spans="27:29" x14ac:dyDescent="0.2">
      <c r="AA383"/>
      <c r="AB383"/>
      <c r="AC383"/>
    </row>
    <row r="384" spans="27:29" x14ac:dyDescent="0.2">
      <c r="AA384"/>
      <c r="AB384"/>
      <c r="AC384"/>
    </row>
    <row r="385" spans="27:29" x14ac:dyDescent="0.2">
      <c r="AA385"/>
      <c r="AB385"/>
      <c r="AC385"/>
    </row>
    <row r="386" spans="27:29" x14ac:dyDescent="0.2">
      <c r="AA386"/>
      <c r="AB386"/>
      <c r="AC386"/>
    </row>
    <row r="387" spans="27:29" x14ac:dyDescent="0.2">
      <c r="AA387"/>
      <c r="AB387"/>
      <c r="AC387"/>
    </row>
    <row r="388" spans="27:29" x14ac:dyDescent="0.2">
      <c r="AA388"/>
      <c r="AB388"/>
      <c r="AC388"/>
    </row>
    <row r="389" spans="27:29" x14ac:dyDescent="0.2">
      <c r="AA389"/>
      <c r="AB389"/>
      <c r="AC389"/>
    </row>
    <row r="390" spans="27:29" x14ac:dyDescent="0.2">
      <c r="AA390"/>
      <c r="AB390"/>
      <c r="AC390"/>
    </row>
    <row r="391" spans="27:29" x14ac:dyDescent="0.2">
      <c r="AA391"/>
      <c r="AB391"/>
      <c r="AC391"/>
    </row>
    <row r="392" spans="27:29" x14ac:dyDescent="0.2">
      <c r="AA392"/>
      <c r="AB392"/>
      <c r="AC392"/>
    </row>
    <row r="393" spans="27:29" x14ac:dyDescent="0.2">
      <c r="AA393"/>
      <c r="AB393"/>
      <c r="AC393"/>
    </row>
    <row r="394" spans="27:29" x14ac:dyDescent="0.2">
      <c r="AA394"/>
      <c r="AB394"/>
      <c r="AC394"/>
    </row>
    <row r="395" spans="27:29" x14ac:dyDescent="0.2">
      <c r="AA395"/>
      <c r="AB395"/>
      <c r="AC395"/>
    </row>
    <row r="396" spans="27:29" x14ac:dyDescent="0.2">
      <c r="AA396"/>
      <c r="AB396"/>
      <c r="AC396"/>
    </row>
    <row r="397" spans="27:29" x14ac:dyDescent="0.2">
      <c r="AA397"/>
      <c r="AB397"/>
      <c r="AC397"/>
    </row>
    <row r="398" spans="27:29" x14ac:dyDescent="0.2">
      <c r="AA398"/>
      <c r="AB398"/>
      <c r="AC398"/>
    </row>
    <row r="399" spans="27:29" x14ac:dyDescent="0.2">
      <c r="AA399"/>
      <c r="AB399"/>
      <c r="AC399"/>
    </row>
    <row r="400" spans="27:29" x14ac:dyDescent="0.2">
      <c r="AA400"/>
      <c r="AB400"/>
      <c r="AC400"/>
    </row>
    <row r="401" spans="27:29" x14ac:dyDescent="0.2">
      <c r="AA401"/>
      <c r="AB401"/>
      <c r="AC401"/>
    </row>
    <row r="402" spans="27:29" x14ac:dyDescent="0.2">
      <c r="AA402"/>
      <c r="AB402"/>
      <c r="AC402"/>
    </row>
    <row r="403" spans="27:29" x14ac:dyDescent="0.2">
      <c r="AA403"/>
      <c r="AB403"/>
      <c r="AC403"/>
    </row>
    <row r="404" spans="27:29" x14ac:dyDescent="0.2">
      <c r="AA404"/>
      <c r="AB404"/>
      <c r="AC404"/>
    </row>
    <row r="405" spans="27:29" x14ac:dyDescent="0.2">
      <c r="AA405"/>
      <c r="AB405"/>
      <c r="AC405"/>
    </row>
    <row r="406" spans="27:29" x14ac:dyDescent="0.2">
      <c r="AA406"/>
      <c r="AB406"/>
      <c r="AC406"/>
    </row>
    <row r="407" spans="27:29" x14ac:dyDescent="0.2">
      <c r="AA407"/>
      <c r="AB407"/>
      <c r="AC407"/>
    </row>
    <row r="408" spans="27:29" x14ac:dyDescent="0.2">
      <c r="AA408"/>
      <c r="AB408"/>
      <c r="AC408"/>
    </row>
    <row r="409" spans="27:29" x14ac:dyDescent="0.2">
      <c r="AA409"/>
      <c r="AB409"/>
      <c r="AC409"/>
    </row>
    <row r="410" spans="27:29" x14ac:dyDescent="0.2">
      <c r="AA410"/>
      <c r="AB410"/>
      <c r="AC410"/>
    </row>
    <row r="411" spans="27:29" x14ac:dyDescent="0.2">
      <c r="AA411"/>
      <c r="AB411"/>
      <c r="AC411"/>
    </row>
    <row r="412" spans="27:29" x14ac:dyDescent="0.2">
      <c r="AA412"/>
      <c r="AB412"/>
      <c r="AC412"/>
    </row>
    <row r="413" spans="27:29" x14ac:dyDescent="0.2">
      <c r="AA413"/>
      <c r="AB413"/>
      <c r="AC413"/>
    </row>
    <row r="414" spans="27:29" x14ac:dyDescent="0.2">
      <c r="AA414"/>
      <c r="AB414"/>
      <c r="AC414"/>
    </row>
    <row r="415" spans="27:29" x14ac:dyDescent="0.2">
      <c r="AA415"/>
      <c r="AB415"/>
      <c r="AC415"/>
    </row>
    <row r="416" spans="27:29" x14ac:dyDescent="0.2">
      <c r="AA416"/>
      <c r="AB416"/>
      <c r="AC416"/>
    </row>
    <row r="417" spans="27:29" x14ac:dyDescent="0.2">
      <c r="AA417"/>
      <c r="AB417"/>
      <c r="AC417"/>
    </row>
    <row r="418" spans="27:29" x14ac:dyDescent="0.2">
      <c r="AA418"/>
      <c r="AB418"/>
      <c r="AC418"/>
    </row>
    <row r="419" spans="27:29" x14ac:dyDescent="0.2">
      <c r="AA419"/>
      <c r="AB419"/>
      <c r="AC419"/>
    </row>
    <row r="420" spans="27:29" x14ac:dyDescent="0.2">
      <c r="AA420"/>
      <c r="AB420"/>
      <c r="AC420"/>
    </row>
    <row r="421" spans="27:29" x14ac:dyDescent="0.2">
      <c r="AA421"/>
      <c r="AB421"/>
      <c r="AC421"/>
    </row>
    <row r="422" spans="27:29" x14ac:dyDescent="0.2">
      <c r="AA422"/>
      <c r="AB422"/>
      <c r="AC422"/>
    </row>
    <row r="423" spans="27:29" x14ac:dyDescent="0.2">
      <c r="AA423"/>
      <c r="AB423"/>
      <c r="AC423"/>
    </row>
    <row r="424" spans="27:29" x14ac:dyDescent="0.2">
      <c r="AA424"/>
      <c r="AB424"/>
      <c r="AC424"/>
    </row>
    <row r="425" spans="27:29" x14ac:dyDescent="0.2">
      <c r="AA425"/>
      <c r="AB425"/>
      <c r="AC425"/>
    </row>
    <row r="426" spans="27:29" x14ac:dyDescent="0.2">
      <c r="AA426"/>
      <c r="AB426"/>
      <c r="AC426"/>
    </row>
    <row r="427" spans="27:29" x14ac:dyDescent="0.2">
      <c r="AA427"/>
      <c r="AB427"/>
      <c r="AC427"/>
    </row>
    <row r="428" spans="27:29" x14ac:dyDescent="0.2">
      <c r="AA428"/>
      <c r="AB428"/>
      <c r="AC428"/>
    </row>
    <row r="429" spans="27:29" x14ac:dyDescent="0.2">
      <c r="AA429"/>
      <c r="AB429"/>
      <c r="AC429"/>
    </row>
    <row r="430" spans="27:29" x14ac:dyDescent="0.2">
      <c r="AA430"/>
      <c r="AB430"/>
      <c r="AC430"/>
    </row>
    <row r="431" spans="27:29" x14ac:dyDescent="0.2">
      <c r="AA431"/>
      <c r="AB431"/>
      <c r="AC431"/>
    </row>
    <row r="432" spans="27:29" x14ac:dyDescent="0.2">
      <c r="AA432"/>
      <c r="AB432"/>
      <c r="AC432"/>
    </row>
    <row r="433" spans="27:29" x14ac:dyDescent="0.2">
      <c r="AA433"/>
      <c r="AB433"/>
      <c r="AC433"/>
    </row>
    <row r="434" spans="27:29" x14ac:dyDescent="0.2">
      <c r="AA434"/>
      <c r="AB434"/>
      <c r="AC434"/>
    </row>
    <row r="435" spans="27:29" x14ac:dyDescent="0.2">
      <c r="AA435"/>
      <c r="AB435"/>
      <c r="AC435"/>
    </row>
    <row r="436" spans="27:29" x14ac:dyDescent="0.2">
      <c r="AA436"/>
      <c r="AB436"/>
      <c r="AC436"/>
    </row>
    <row r="437" spans="27:29" x14ac:dyDescent="0.2">
      <c r="AA437"/>
      <c r="AB437"/>
      <c r="AC437"/>
    </row>
    <row r="438" spans="27:29" x14ac:dyDescent="0.2">
      <c r="AA438"/>
      <c r="AB438"/>
      <c r="AC438"/>
    </row>
    <row r="439" spans="27:29" x14ac:dyDescent="0.2">
      <c r="AA439"/>
      <c r="AB439"/>
      <c r="AC439"/>
    </row>
    <row r="440" spans="27:29" x14ac:dyDescent="0.2">
      <c r="AA440"/>
      <c r="AB440"/>
      <c r="AC440"/>
    </row>
    <row r="441" spans="27:29" x14ac:dyDescent="0.2">
      <c r="AA441"/>
      <c r="AB441"/>
      <c r="AC441"/>
    </row>
    <row r="442" spans="27:29" x14ac:dyDescent="0.2">
      <c r="AA442"/>
      <c r="AB442"/>
      <c r="AC442"/>
    </row>
    <row r="443" spans="27:29" x14ac:dyDescent="0.2">
      <c r="AA443"/>
      <c r="AB443"/>
      <c r="AC443"/>
    </row>
    <row r="444" spans="27:29" x14ac:dyDescent="0.2">
      <c r="AA444"/>
      <c r="AB444"/>
      <c r="AC444"/>
    </row>
    <row r="445" spans="27:29" x14ac:dyDescent="0.2">
      <c r="AA445"/>
      <c r="AB445"/>
      <c r="AC445"/>
    </row>
    <row r="446" spans="27:29" x14ac:dyDescent="0.2">
      <c r="AA446"/>
      <c r="AB446"/>
      <c r="AC446"/>
    </row>
    <row r="447" spans="27:29" x14ac:dyDescent="0.2">
      <c r="AA447"/>
      <c r="AB447"/>
      <c r="AC447"/>
    </row>
    <row r="448" spans="27:29" x14ac:dyDescent="0.2">
      <c r="AA448"/>
      <c r="AB448"/>
      <c r="AC448"/>
    </row>
    <row r="449" spans="27:29" x14ac:dyDescent="0.2">
      <c r="AA449"/>
      <c r="AB449"/>
      <c r="AC449"/>
    </row>
    <row r="450" spans="27:29" x14ac:dyDescent="0.2">
      <c r="AA450"/>
      <c r="AB450"/>
      <c r="AC450"/>
    </row>
    <row r="451" spans="27:29" x14ac:dyDescent="0.2">
      <c r="AA451"/>
      <c r="AB451"/>
      <c r="AC451"/>
    </row>
    <row r="452" spans="27:29" x14ac:dyDescent="0.2">
      <c r="AA452"/>
      <c r="AB452"/>
      <c r="AC452"/>
    </row>
    <row r="453" spans="27:29" x14ac:dyDescent="0.2">
      <c r="AA453"/>
      <c r="AB453"/>
      <c r="AC453"/>
    </row>
    <row r="454" spans="27:29" x14ac:dyDescent="0.2">
      <c r="AA454"/>
      <c r="AB454"/>
      <c r="AC454"/>
    </row>
    <row r="455" spans="27:29" x14ac:dyDescent="0.2">
      <c r="AA455"/>
      <c r="AB455"/>
      <c r="AC455"/>
    </row>
    <row r="456" spans="27:29" x14ac:dyDescent="0.2">
      <c r="AA456"/>
      <c r="AB456"/>
      <c r="AC456"/>
    </row>
    <row r="457" spans="27:29" x14ac:dyDescent="0.2">
      <c r="AA457"/>
      <c r="AB457"/>
      <c r="AC457"/>
    </row>
    <row r="458" spans="27:29" x14ac:dyDescent="0.2">
      <c r="AA458"/>
      <c r="AB458"/>
      <c r="AC458"/>
    </row>
    <row r="459" spans="27:29" x14ac:dyDescent="0.2">
      <c r="AA459"/>
      <c r="AB459"/>
      <c r="AC459"/>
    </row>
    <row r="460" spans="27:29" x14ac:dyDescent="0.2">
      <c r="AA460"/>
      <c r="AB460"/>
      <c r="AC460"/>
    </row>
    <row r="461" spans="27:29" x14ac:dyDescent="0.2">
      <c r="AA461"/>
      <c r="AB461"/>
      <c r="AC461"/>
    </row>
    <row r="462" spans="27:29" x14ac:dyDescent="0.2">
      <c r="AA462"/>
      <c r="AB462"/>
      <c r="AC462"/>
    </row>
    <row r="463" spans="27:29" x14ac:dyDescent="0.2">
      <c r="AA463"/>
      <c r="AB463"/>
      <c r="AC463"/>
    </row>
    <row r="464" spans="27:29" x14ac:dyDescent="0.2">
      <c r="AA464"/>
      <c r="AB464"/>
      <c r="AC464"/>
    </row>
    <row r="465" spans="27:29" x14ac:dyDescent="0.2">
      <c r="AA465"/>
      <c r="AB465"/>
      <c r="AC465"/>
    </row>
    <row r="466" spans="27:29" x14ac:dyDescent="0.2">
      <c r="AA466"/>
      <c r="AB466"/>
      <c r="AC466"/>
    </row>
    <row r="467" spans="27:29" x14ac:dyDescent="0.2">
      <c r="AA467"/>
      <c r="AB467"/>
      <c r="AC467"/>
    </row>
    <row r="468" spans="27:29" x14ac:dyDescent="0.2">
      <c r="AA468"/>
      <c r="AB468"/>
      <c r="AC468"/>
    </row>
    <row r="469" spans="27:29" x14ac:dyDescent="0.2">
      <c r="AA469"/>
      <c r="AB469"/>
      <c r="AC469"/>
    </row>
    <row r="470" spans="27:29" x14ac:dyDescent="0.2">
      <c r="AA470"/>
      <c r="AB470"/>
      <c r="AC470"/>
    </row>
    <row r="471" spans="27:29" x14ac:dyDescent="0.2">
      <c r="AA471"/>
      <c r="AB471"/>
      <c r="AC471"/>
    </row>
    <row r="472" spans="27:29" x14ac:dyDescent="0.2">
      <c r="AA472"/>
      <c r="AB472"/>
      <c r="AC472"/>
    </row>
    <row r="473" spans="27:29" x14ac:dyDescent="0.2">
      <c r="AA473"/>
      <c r="AB473"/>
      <c r="AC473"/>
    </row>
    <row r="474" spans="27:29" x14ac:dyDescent="0.2">
      <c r="AA474"/>
      <c r="AB474"/>
      <c r="AC474"/>
    </row>
    <row r="475" spans="27:29" x14ac:dyDescent="0.2">
      <c r="AA475"/>
      <c r="AB475"/>
      <c r="AC475"/>
    </row>
    <row r="476" spans="27:29" x14ac:dyDescent="0.2">
      <c r="AA476"/>
      <c r="AB476"/>
      <c r="AC476"/>
    </row>
    <row r="477" spans="27:29" x14ac:dyDescent="0.2">
      <c r="AA477"/>
      <c r="AB477"/>
      <c r="AC477"/>
    </row>
    <row r="478" spans="27:29" x14ac:dyDescent="0.2">
      <c r="AA478"/>
      <c r="AB478"/>
      <c r="AC478"/>
    </row>
    <row r="479" spans="27:29" x14ac:dyDescent="0.2">
      <c r="AA479"/>
      <c r="AB479"/>
      <c r="AC479"/>
    </row>
    <row r="480" spans="27:29" x14ac:dyDescent="0.2">
      <c r="AA480"/>
      <c r="AB480"/>
      <c r="AC480"/>
    </row>
    <row r="481" spans="27:29" x14ac:dyDescent="0.2">
      <c r="AA481"/>
      <c r="AB481"/>
      <c r="AC481"/>
    </row>
    <row r="482" spans="27:29" x14ac:dyDescent="0.2">
      <c r="AA482"/>
      <c r="AB482"/>
      <c r="AC482"/>
    </row>
    <row r="483" spans="27:29" x14ac:dyDescent="0.2">
      <c r="AA483"/>
      <c r="AB483"/>
      <c r="AC483"/>
    </row>
    <row r="484" spans="27:29" x14ac:dyDescent="0.2">
      <c r="AA484"/>
      <c r="AB484"/>
      <c r="AC484"/>
    </row>
    <row r="485" spans="27:29" x14ac:dyDescent="0.2">
      <c r="AA485"/>
      <c r="AB485"/>
      <c r="AC485"/>
    </row>
    <row r="486" spans="27:29" x14ac:dyDescent="0.2">
      <c r="AA486"/>
      <c r="AB486"/>
      <c r="AC486"/>
    </row>
    <row r="487" spans="27:29" x14ac:dyDescent="0.2">
      <c r="AA487"/>
      <c r="AB487"/>
      <c r="AC487"/>
    </row>
    <row r="488" spans="27:29" x14ac:dyDescent="0.2">
      <c r="AA488"/>
      <c r="AB488"/>
      <c r="AC488"/>
    </row>
    <row r="489" spans="27:29" x14ac:dyDescent="0.2">
      <c r="AA489"/>
      <c r="AB489"/>
      <c r="AC489"/>
    </row>
    <row r="490" spans="27:29" x14ac:dyDescent="0.2">
      <c r="AA490"/>
      <c r="AB490"/>
      <c r="AC490"/>
    </row>
    <row r="491" spans="27:29" x14ac:dyDescent="0.2">
      <c r="AA491"/>
      <c r="AB491"/>
      <c r="AC491"/>
    </row>
    <row r="492" spans="27:29" x14ac:dyDescent="0.2">
      <c r="AA492"/>
      <c r="AB492"/>
      <c r="AC492"/>
    </row>
    <row r="493" spans="27:29" x14ac:dyDescent="0.2">
      <c r="AA493"/>
      <c r="AB493"/>
      <c r="AC493"/>
    </row>
    <row r="494" spans="27:29" x14ac:dyDescent="0.2">
      <c r="AA494"/>
      <c r="AB494"/>
      <c r="AC494"/>
    </row>
    <row r="495" spans="27:29" x14ac:dyDescent="0.2">
      <c r="AA495"/>
      <c r="AB495"/>
      <c r="AC495"/>
    </row>
    <row r="496" spans="27:29" x14ac:dyDescent="0.2">
      <c r="AA496"/>
      <c r="AB496"/>
      <c r="AC496"/>
    </row>
    <row r="497" spans="27:29" x14ac:dyDescent="0.2">
      <c r="AA497"/>
      <c r="AB497"/>
      <c r="AC497"/>
    </row>
    <row r="498" spans="27:29" x14ac:dyDescent="0.2">
      <c r="AA498"/>
      <c r="AB498"/>
      <c r="AC498"/>
    </row>
    <row r="499" spans="27:29" x14ac:dyDescent="0.2">
      <c r="AA499"/>
      <c r="AB499"/>
      <c r="AC499"/>
    </row>
    <row r="500" spans="27:29" x14ac:dyDescent="0.2">
      <c r="AA500"/>
      <c r="AB500"/>
      <c r="AC500"/>
    </row>
  </sheetData>
  <dataConsolidate/>
  <mergeCells count="9">
    <mergeCell ref="C1:D2"/>
    <mergeCell ref="E1:F2"/>
    <mergeCell ref="A1:A2"/>
    <mergeCell ref="AB13:AB18"/>
    <mergeCell ref="AD13:AD18"/>
    <mergeCell ref="AB7:AB12"/>
    <mergeCell ref="AD7:AD12"/>
    <mergeCell ref="A3:B3"/>
    <mergeCell ref="G3:Q3"/>
  </mergeCells>
  <printOptions horizontalCentered="1" verticalCentered="1"/>
  <pageMargins left="0.15" right="0.15" top="0.25" bottom="0.15" header="0.15" footer="0.15"/>
  <pageSetup paperSize="9" scale="3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4049" r:id="rId4" name="Button 1">
              <controlPr defaultSize="0" print="0" autoFill="0" autoPict="0" macro="[0]!createSchedule">
                <anchor moveWithCells="1" sizeWithCells="1">
                  <from>
                    <xdr:col>36</xdr:col>
                    <xdr:colOff>104775</xdr:colOff>
                    <xdr:row>0</xdr:row>
                    <xdr:rowOff>66675</xdr:rowOff>
                  </from>
                  <to>
                    <xdr:col>39</xdr:col>
                    <xdr:colOff>28575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050" r:id="rId5" name="Button 2">
              <controlPr defaultSize="0" print="0" autoFill="0" autoPict="0" macro="[0]!clearVesselBackGroundColor">
                <anchor moveWithCells="1" sizeWithCells="1">
                  <from>
                    <xdr:col>39</xdr:col>
                    <xdr:colOff>38100</xdr:colOff>
                    <xdr:row>0</xdr:row>
                    <xdr:rowOff>57150</xdr:rowOff>
                  </from>
                  <to>
                    <xdr:col>41</xdr:col>
                    <xdr:colOff>219075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051" r:id="rId6" name="Button 3">
              <controlPr defaultSize="0" print="0" autoFill="0" autoPict="0" macro="[0]!setVesselBackGroundColor">
                <anchor moveWithCells="1" sizeWithCells="1">
                  <from>
                    <xdr:col>41</xdr:col>
                    <xdr:colOff>257175</xdr:colOff>
                    <xdr:row>0</xdr:row>
                    <xdr:rowOff>57150</xdr:rowOff>
                  </from>
                  <to>
                    <xdr:col>43</xdr:col>
                    <xdr:colOff>361950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B922"/>
  <sheetViews>
    <sheetView topLeftCell="C1" workbookViewId="0">
      <selection activeCell="M11" sqref="M11"/>
    </sheetView>
  </sheetViews>
  <sheetFormatPr defaultRowHeight="12.75" x14ac:dyDescent="0.2"/>
  <cols>
    <col min="1" max="1" width="14.42578125" bestFit="1" customWidth="1"/>
    <col min="7" max="10" width="9.140625" style="236" customWidth="1"/>
    <col min="11" max="11" width="14.42578125" bestFit="1" customWidth="1"/>
    <col min="12" max="14" width="9.140625" customWidth="1"/>
    <col min="15" max="15" width="12.28515625" style="105" customWidth="1"/>
    <col min="16" max="16" width="12.140625" style="106" customWidth="1"/>
    <col min="17" max="17" width="12.5703125" style="105" bestFit="1" customWidth="1"/>
    <col min="18" max="18" width="12.140625" style="106" bestFit="1" customWidth="1"/>
    <col min="19" max="19" width="12.5703125" style="105" bestFit="1" customWidth="1"/>
    <col min="20" max="20" width="12.28515625" style="106" bestFit="1" customWidth="1"/>
    <col min="21" max="21" width="16.140625" bestFit="1" customWidth="1"/>
    <col min="22" max="22" width="9.140625" customWidth="1"/>
    <col min="23" max="23" width="9.140625" style="236" customWidth="1"/>
    <col min="24" max="31" width="9.140625" customWidth="1"/>
    <col min="32" max="32" width="10.85546875" customWidth="1"/>
    <col min="33" max="39" width="9.140625" customWidth="1"/>
    <col min="40" max="40" width="14.7109375" bestFit="1" customWidth="1"/>
    <col min="41" max="41" width="9.140625" customWidth="1"/>
    <col min="42" max="42" width="15.7109375" bestFit="1" customWidth="1"/>
    <col min="43" max="44" width="9.140625" customWidth="1"/>
    <col min="45" max="45" width="9.85546875" customWidth="1"/>
    <col min="46" max="47" width="10" customWidth="1"/>
    <col min="48" max="48" width="33.42578125" customWidth="1"/>
    <col min="54" max="54" width="13.42578125" bestFit="1" customWidth="1"/>
  </cols>
  <sheetData>
    <row r="1" spans="1:54" ht="15.75" x14ac:dyDescent="0.25">
      <c r="A1" s="194" t="s">
        <v>10</v>
      </c>
      <c r="B1" s="310" t="s">
        <v>21</v>
      </c>
      <c r="C1" s="310"/>
      <c r="D1" s="310"/>
      <c r="E1" s="310"/>
      <c r="F1" s="310"/>
      <c r="G1" s="311" t="s">
        <v>9</v>
      </c>
      <c r="H1" s="311"/>
      <c r="I1" s="311" t="s">
        <v>4</v>
      </c>
      <c r="J1" s="311"/>
      <c r="K1" s="252" t="s">
        <v>32</v>
      </c>
      <c r="L1" s="252" t="s">
        <v>114</v>
      </c>
      <c r="M1" s="252" t="s">
        <v>31</v>
      </c>
      <c r="N1" s="253" t="s">
        <v>115</v>
      </c>
      <c r="O1" s="111" t="s">
        <v>37</v>
      </c>
      <c r="P1" s="112" t="s">
        <v>38</v>
      </c>
      <c r="Q1" s="107" t="s">
        <v>35</v>
      </c>
      <c r="R1" s="109" t="s">
        <v>36</v>
      </c>
      <c r="S1" s="108" t="s">
        <v>34</v>
      </c>
      <c r="T1" s="113" t="s">
        <v>39</v>
      </c>
      <c r="U1" s="312" t="s">
        <v>5</v>
      </c>
      <c r="V1" s="312"/>
      <c r="W1" s="237" t="s">
        <v>25</v>
      </c>
      <c r="X1" s="312" t="s">
        <v>6</v>
      </c>
      <c r="Y1" s="312"/>
      <c r="Z1" s="312" t="s">
        <v>7</v>
      </c>
      <c r="AA1" s="312"/>
      <c r="AB1" s="312" t="s">
        <v>8</v>
      </c>
      <c r="AC1" s="312"/>
      <c r="AD1" s="312" t="s">
        <v>26</v>
      </c>
      <c r="AE1" s="312"/>
      <c r="AF1" s="312"/>
      <c r="AG1" s="312" t="s">
        <v>27</v>
      </c>
      <c r="AH1" s="312"/>
      <c r="AI1" s="312"/>
      <c r="AJ1" s="312"/>
      <c r="AK1" s="312" t="s">
        <v>28</v>
      </c>
      <c r="AL1" s="312"/>
      <c r="AM1" s="312"/>
      <c r="AN1" s="21" t="s">
        <v>29</v>
      </c>
      <c r="AO1" s="22"/>
      <c r="AP1" s="29" t="s">
        <v>30</v>
      </c>
      <c r="AQ1" s="29"/>
      <c r="AR1" s="29"/>
      <c r="AS1" s="101" t="s">
        <v>20</v>
      </c>
      <c r="AT1" s="102" t="s">
        <v>22</v>
      </c>
      <c r="AU1" s="31" t="s">
        <v>24</v>
      </c>
      <c r="AV1" s="110" t="s">
        <v>23</v>
      </c>
      <c r="AW1" s="114" t="s">
        <v>41</v>
      </c>
      <c r="AX1" s="197" t="s">
        <v>44</v>
      </c>
      <c r="AY1" s="197" t="s">
        <v>45</v>
      </c>
      <c r="AZ1" s="198" t="s">
        <v>46</v>
      </c>
      <c r="BA1" s="198" t="s">
        <v>47</v>
      </c>
      <c r="BB1" s="205" t="s">
        <v>62</v>
      </c>
    </row>
    <row r="2" spans="1:54" x14ac:dyDescent="0.2">
      <c r="A2" t="s">
        <v>91</v>
      </c>
      <c r="B2" t="s">
        <v>75</v>
      </c>
      <c r="G2" s="236" t="s">
        <v>76</v>
      </c>
      <c r="I2" s="236" t="s">
        <v>139</v>
      </c>
      <c r="K2" s="195">
        <v>42961</v>
      </c>
      <c r="L2" s="196">
        <v>0.29166666666666669</v>
      </c>
      <c r="M2" s="195">
        <v>42961</v>
      </c>
      <c r="N2" s="196">
        <v>0.58333333333333337</v>
      </c>
      <c r="O2" s="195">
        <v>42964</v>
      </c>
      <c r="P2" s="196">
        <v>4.1666666666666664E-2</v>
      </c>
      <c r="Q2" s="195">
        <v>42964</v>
      </c>
      <c r="R2" s="196">
        <v>8.3333333333333329E-2</v>
      </c>
      <c r="S2" s="195">
        <v>42964</v>
      </c>
      <c r="T2" s="196">
        <v>0.5</v>
      </c>
      <c r="U2">
        <v>173</v>
      </c>
      <c r="W2" s="236" t="s">
        <v>77</v>
      </c>
      <c r="X2">
        <v>0</v>
      </c>
      <c r="Z2">
        <v>350</v>
      </c>
      <c r="AB2">
        <v>350</v>
      </c>
      <c r="AD2">
        <v>500</v>
      </c>
      <c r="AG2">
        <v>350</v>
      </c>
      <c r="AN2">
        <v>0</v>
      </c>
      <c r="AP2" t="s">
        <v>78</v>
      </c>
      <c r="AS2" t="s">
        <v>79</v>
      </c>
      <c r="AT2">
        <v>30</v>
      </c>
      <c r="AU2" t="s">
        <v>65</v>
      </c>
      <c r="AV2" t="s">
        <v>126</v>
      </c>
      <c r="AW2" t="s">
        <v>140</v>
      </c>
      <c r="AX2" t="s">
        <v>120</v>
      </c>
      <c r="AY2" t="s">
        <v>141</v>
      </c>
      <c r="AZ2" t="s">
        <v>129</v>
      </c>
      <c r="BA2" t="s">
        <v>130</v>
      </c>
      <c r="BB2" t="s">
        <v>69</v>
      </c>
    </row>
    <row r="3" spans="1:54" x14ac:dyDescent="0.2">
      <c r="A3" t="s">
        <v>142</v>
      </c>
      <c r="B3" t="s">
        <v>87</v>
      </c>
      <c r="G3" s="236" t="s">
        <v>88</v>
      </c>
      <c r="I3" s="236" t="s">
        <v>143</v>
      </c>
      <c r="K3" s="195">
        <v>42955</v>
      </c>
      <c r="L3" s="196">
        <v>0.33333333333333331</v>
      </c>
      <c r="M3" s="195">
        <v>42955</v>
      </c>
      <c r="N3" s="196">
        <v>0.75</v>
      </c>
      <c r="O3" s="195">
        <v>42961</v>
      </c>
      <c r="P3" s="196">
        <v>0.91666666666666663</v>
      </c>
      <c r="Q3" s="195">
        <v>42961</v>
      </c>
      <c r="R3" s="196">
        <v>0.95833333333333337</v>
      </c>
      <c r="S3" s="195">
        <v>42962</v>
      </c>
      <c r="T3" s="196">
        <v>0.375</v>
      </c>
      <c r="U3">
        <v>166</v>
      </c>
      <c r="W3" s="236" t="s">
        <v>77</v>
      </c>
      <c r="X3">
        <v>0</v>
      </c>
      <c r="Z3">
        <v>400</v>
      </c>
      <c r="AB3">
        <v>400</v>
      </c>
      <c r="AD3">
        <v>572</v>
      </c>
      <c r="AG3">
        <v>400</v>
      </c>
      <c r="AN3">
        <v>0</v>
      </c>
      <c r="AP3" t="s">
        <v>89</v>
      </c>
      <c r="AS3" t="s">
        <v>79</v>
      </c>
      <c r="AT3">
        <v>30</v>
      </c>
      <c r="AU3" t="s">
        <v>65</v>
      </c>
      <c r="AV3" t="s">
        <v>126</v>
      </c>
      <c r="AW3" t="s">
        <v>48</v>
      </c>
      <c r="AX3" t="s">
        <v>144</v>
      </c>
      <c r="AY3" t="s">
        <v>145</v>
      </c>
      <c r="AZ3" t="s">
        <v>129</v>
      </c>
      <c r="BA3" t="s">
        <v>130</v>
      </c>
      <c r="BB3" t="s">
        <v>69</v>
      </c>
    </row>
    <row r="4" spans="1:54" x14ac:dyDescent="0.2">
      <c r="A4" t="s">
        <v>146</v>
      </c>
      <c r="B4" t="s">
        <v>94</v>
      </c>
      <c r="G4" s="236" t="s">
        <v>95</v>
      </c>
      <c r="I4" s="236" t="s">
        <v>147</v>
      </c>
      <c r="K4" s="195">
        <v>42959</v>
      </c>
      <c r="L4" s="196">
        <v>0.41666666666666669</v>
      </c>
      <c r="M4" s="195">
        <v>42959</v>
      </c>
      <c r="N4" s="196">
        <v>0.91666666666666663</v>
      </c>
      <c r="O4" s="195">
        <v>42961</v>
      </c>
      <c r="P4" s="196">
        <v>6.9444444444444447E-4</v>
      </c>
      <c r="Q4" s="195">
        <v>42961</v>
      </c>
      <c r="R4" s="196">
        <v>4.1666666666666664E-2</v>
      </c>
      <c r="S4" s="195">
        <v>42961</v>
      </c>
      <c r="T4" s="196">
        <v>0.41666666666666669</v>
      </c>
      <c r="U4">
        <v>173</v>
      </c>
      <c r="W4" s="236" t="s">
        <v>77</v>
      </c>
      <c r="X4">
        <v>0</v>
      </c>
      <c r="Z4">
        <v>400</v>
      </c>
      <c r="AB4">
        <v>400</v>
      </c>
      <c r="AD4">
        <v>572</v>
      </c>
      <c r="AG4">
        <v>400</v>
      </c>
      <c r="AN4">
        <v>0</v>
      </c>
      <c r="AP4" t="s">
        <v>59</v>
      </c>
      <c r="AS4" t="s">
        <v>64</v>
      </c>
      <c r="AT4">
        <v>80</v>
      </c>
      <c r="AU4" t="s">
        <v>65</v>
      </c>
      <c r="AV4" t="s">
        <v>126</v>
      </c>
      <c r="AW4" t="s">
        <v>48</v>
      </c>
      <c r="AX4" t="s">
        <v>132</v>
      </c>
      <c r="AY4" t="s">
        <v>148</v>
      </c>
      <c r="AZ4" t="s">
        <v>67</v>
      </c>
      <c r="BA4" t="s">
        <v>68</v>
      </c>
      <c r="BB4" t="s">
        <v>69</v>
      </c>
    </row>
    <row r="5" spans="1:54" x14ac:dyDescent="0.2">
      <c r="A5" t="s">
        <v>63</v>
      </c>
      <c r="B5" t="s">
        <v>149</v>
      </c>
      <c r="G5" s="236" t="s">
        <v>150</v>
      </c>
      <c r="I5" s="236" t="s">
        <v>151</v>
      </c>
      <c r="K5" s="195">
        <v>42960</v>
      </c>
      <c r="L5" s="196">
        <v>0.83333333333333337</v>
      </c>
      <c r="M5" s="195">
        <v>42961</v>
      </c>
      <c r="N5" s="196">
        <v>0.91666666666666663</v>
      </c>
      <c r="O5" s="195">
        <v>42961</v>
      </c>
      <c r="P5" s="196">
        <v>0.70833333333333337</v>
      </c>
      <c r="Q5" s="195">
        <v>42961</v>
      </c>
      <c r="R5" s="196">
        <v>0.75</v>
      </c>
      <c r="S5" s="195">
        <v>42963</v>
      </c>
      <c r="T5" s="196">
        <v>8.3333333333333329E-2</v>
      </c>
      <c r="U5">
        <v>213</v>
      </c>
      <c r="W5" s="236" t="s">
        <v>81</v>
      </c>
      <c r="X5">
        <v>780</v>
      </c>
      <c r="Z5">
        <v>1300</v>
      </c>
      <c r="AB5">
        <v>2080</v>
      </c>
      <c r="AD5">
        <v>2974</v>
      </c>
      <c r="AG5">
        <v>3000</v>
      </c>
      <c r="AK5" t="s">
        <v>48</v>
      </c>
      <c r="AN5">
        <v>0</v>
      </c>
      <c r="AP5" t="s">
        <v>59</v>
      </c>
      <c r="AS5" t="s">
        <v>64</v>
      </c>
      <c r="AT5">
        <v>80</v>
      </c>
      <c r="AU5" t="s">
        <v>65</v>
      </c>
      <c r="AW5" t="s">
        <v>48</v>
      </c>
      <c r="AX5" t="s">
        <v>66</v>
      </c>
      <c r="AY5" t="s">
        <v>152</v>
      </c>
      <c r="AZ5" t="s">
        <v>67</v>
      </c>
      <c r="BA5" t="s">
        <v>68</v>
      </c>
      <c r="BB5" t="s">
        <v>69</v>
      </c>
    </row>
    <row r="6" spans="1:54" x14ac:dyDescent="0.2">
      <c r="A6" t="s">
        <v>99</v>
      </c>
      <c r="B6" t="s">
        <v>100</v>
      </c>
      <c r="G6" s="236" t="s">
        <v>101</v>
      </c>
      <c r="I6" s="236" t="s">
        <v>102</v>
      </c>
      <c r="K6" s="195">
        <v>42958</v>
      </c>
      <c r="L6" s="196">
        <v>0.33333333333333331</v>
      </c>
      <c r="M6" s="195">
        <v>42960</v>
      </c>
      <c r="N6" s="196">
        <v>0.33333333333333331</v>
      </c>
      <c r="O6" s="195">
        <v>42959</v>
      </c>
      <c r="P6" s="196">
        <v>0.91666666666666663</v>
      </c>
      <c r="Q6" s="195">
        <v>42959</v>
      </c>
      <c r="R6" s="196">
        <v>0.95833333333333337</v>
      </c>
      <c r="S6" s="195">
        <v>42961</v>
      </c>
      <c r="T6" s="196">
        <v>0.91666666666666663</v>
      </c>
      <c r="U6">
        <v>255</v>
      </c>
      <c r="W6" s="236" t="s">
        <v>98</v>
      </c>
      <c r="X6">
        <v>2401</v>
      </c>
      <c r="Z6">
        <v>2350</v>
      </c>
      <c r="AB6">
        <v>4751</v>
      </c>
      <c r="AD6">
        <v>6793</v>
      </c>
      <c r="AG6">
        <v>4500</v>
      </c>
      <c r="AK6" t="s">
        <v>48</v>
      </c>
      <c r="AN6">
        <v>0</v>
      </c>
      <c r="AP6" t="s">
        <v>61</v>
      </c>
      <c r="AS6" t="s">
        <v>70</v>
      </c>
      <c r="AT6">
        <v>65</v>
      </c>
      <c r="AU6" t="s">
        <v>65</v>
      </c>
      <c r="AV6" t="s">
        <v>133</v>
      </c>
      <c r="AW6" t="s">
        <v>48</v>
      </c>
      <c r="AX6" t="s">
        <v>66</v>
      </c>
      <c r="AY6" t="s">
        <v>134</v>
      </c>
      <c r="AZ6" t="s">
        <v>127</v>
      </c>
      <c r="BA6" t="s">
        <v>128</v>
      </c>
      <c r="BB6" t="s">
        <v>69</v>
      </c>
    </row>
    <row r="7" spans="1:54" x14ac:dyDescent="0.2">
      <c r="A7" t="s">
        <v>142</v>
      </c>
      <c r="B7" t="s">
        <v>153</v>
      </c>
      <c r="G7" s="236" t="s">
        <v>154</v>
      </c>
      <c r="I7" s="236" t="s">
        <v>155</v>
      </c>
      <c r="K7" s="195">
        <v>42962</v>
      </c>
      <c r="L7" s="196">
        <v>0.33333333333333331</v>
      </c>
      <c r="M7" s="195">
        <v>42962</v>
      </c>
      <c r="N7" s="196">
        <v>0.75</v>
      </c>
      <c r="O7" s="195">
        <v>42965</v>
      </c>
      <c r="P7" s="196">
        <v>0.33333333333333331</v>
      </c>
      <c r="Q7" s="195">
        <v>42965</v>
      </c>
      <c r="R7" s="196">
        <v>0.66666666666666663</v>
      </c>
      <c r="S7" s="195">
        <v>42966</v>
      </c>
      <c r="T7" s="196">
        <v>8.3333333333333329E-2</v>
      </c>
      <c r="U7">
        <v>168</v>
      </c>
      <c r="W7" s="236" t="s">
        <v>77</v>
      </c>
      <c r="X7">
        <v>0</v>
      </c>
      <c r="Z7">
        <v>400</v>
      </c>
      <c r="AB7">
        <v>400</v>
      </c>
      <c r="AD7">
        <v>572</v>
      </c>
      <c r="AG7">
        <v>400</v>
      </c>
      <c r="AN7">
        <v>0</v>
      </c>
      <c r="AP7" t="s">
        <v>78</v>
      </c>
      <c r="AS7" t="s">
        <v>79</v>
      </c>
      <c r="AT7">
        <v>30</v>
      </c>
      <c r="AU7" t="s">
        <v>65</v>
      </c>
      <c r="AV7" t="s">
        <v>126</v>
      </c>
      <c r="AW7" t="s">
        <v>48</v>
      </c>
      <c r="AX7" t="s">
        <v>144</v>
      </c>
      <c r="AY7" t="s">
        <v>156</v>
      </c>
      <c r="AZ7" t="s">
        <v>129</v>
      </c>
      <c r="BA7" t="s">
        <v>130</v>
      </c>
      <c r="BB7" t="s">
        <v>69</v>
      </c>
    </row>
    <row r="8" spans="1:54" x14ac:dyDescent="0.2">
      <c r="A8" t="s">
        <v>90</v>
      </c>
      <c r="B8" t="s">
        <v>157</v>
      </c>
      <c r="G8" s="236" t="s">
        <v>158</v>
      </c>
      <c r="I8" s="236" t="s">
        <v>159</v>
      </c>
      <c r="K8" s="195">
        <v>42961</v>
      </c>
      <c r="L8" s="196">
        <v>0.33333333333333331</v>
      </c>
      <c r="M8" s="195">
        <v>42961</v>
      </c>
      <c r="N8" s="196">
        <v>0.58333333333333337</v>
      </c>
      <c r="O8" s="195">
        <v>42963</v>
      </c>
      <c r="P8" s="196">
        <v>0.79166666666666663</v>
      </c>
      <c r="Q8" s="195">
        <v>42963</v>
      </c>
      <c r="R8" s="196">
        <v>0.83333333333333337</v>
      </c>
      <c r="S8" s="195">
        <v>42964</v>
      </c>
      <c r="T8" s="196">
        <v>8.3333333333333329E-2</v>
      </c>
      <c r="U8">
        <v>173</v>
      </c>
      <c r="W8" s="236" t="s">
        <v>77</v>
      </c>
      <c r="X8">
        <v>300</v>
      </c>
      <c r="Z8">
        <v>0</v>
      </c>
      <c r="AB8">
        <v>300</v>
      </c>
      <c r="AD8">
        <v>429</v>
      </c>
      <c r="AG8">
        <v>300</v>
      </c>
      <c r="AN8">
        <v>0</v>
      </c>
      <c r="AP8" t="s">
        <v>160</v>
      </c>
      <c r="AS8" t="s">
        <v>79</v>
      </c>
      <c r="AT8">
        <v>30</v>
      </c>
      <c r="AU8" t="s">
        <v>65</v>
      </c>
      <c r="AV8" t="s">
        <v>161</v>
      </c>
      <c r="AW8" t="s">
        <v>48</v>
      </c>
      <c r="AX8" t="s">
        <v>131</v>
      </c>
      <c r="AY8" t="s">
        <v>162</v>
      </c>
      <c r="AZ8" t="s">
        <v>129</v>
      </c>
      <c r="BA8" t="s">
        <v>130</v>
      </c>
      <c r="BB8" t="s">
        <v>69</v>
      </c>
    </row>
    <row r="9" spans="1:54" x14ac:dyDescent="0.2">
      <c r="A9" t="s">
        <v>86</v>
      </c>
      <c r="B9" t="s">
        <v>153</v>
      </c>
      <c r="G9" s="236" t="s">
        <v>154</v>
      </c>
      <c r="I9" s="236" t="s">
        <v>163</v>
      </c>
      <c r="K9" s="195">
        <v>42962</v>
      </c>
      <c r="L9" s="196">
        <v>0.33333333333333331</v>
      </c>
      <c r="M9" s="195">
        <v>42962</v>
      </c>
      <c r="N9" s="196">
        <v>0.75</v>
      </c>
      <c r="O9" s="195">
        <v>42962</v>
      </c>
      <c r="P9" s="196">
        <v>0.41666666666666669</v>
      </c>
      <c r="Q9" s="195">
        <v>42962</v>
      </c>
      <c r="R9" s="196">
        <v>0.45833333333333331</v>
      </c>
      <c r="S9" s="195">
        <v>42962</v>
      </c>
      <c r="T9" s="196">
        <v>0.75</v>
      </c>
      <c r="U9">
        <v>168</v>
      </c>
      <c r="W9" s="236" t="s">
        <v>77</v>
      </c>
      <c r="X9">
        <v>400</v>
      </c>
      <c r="Z9">
        <v>0</v>
      </c>
      <c r="AB9">
        <v>400</v>
      </c>
      <c r="AD9">
        <v>572</v>
      </c>
      <c r="AG9">
        <v>400</v>
      </c>
      <c r="AN9">
        <v>0</v>
      </c>
      <c r="AP9" t="s">
        <v>78</v>
      </c>
      <c r="AS9" t="s">
        <v>79</v>
      </c>
      <c r="AT9">
        <v>30</v>
      </c>
      <c r="AU9" t="s">
        <v>65</v>
      </c>
      <c r="AV9" t="s">
        <v>164</v>
      </c>
      <c r="AW9" t="s">
        <v>48</v>
      </c>
      <c r="AX9" t="s">
        <v>144</v>
      </c>
      <c r="AY9" t="s">
        <v>165</v>
      </c>
      <c r="AZ9" t="s">
        <v>129</v>
      </c>
      <c r="BA9" t="s">
        <v>130</v>
      </c>
      <c r="BB9" t="s">
        <v>69</v>
      </c>
    </row>
    <row r="10" spans="1:54" x14ac:dyDescent="0.2">
      <c r="A10" t="s">
        <v>83</v>
      </c>
      <c r="B10" t="s">
        <v>166</v>
      </c>
      <c r="G10" s="236" t="s">
        <v>167</v>
      </c>
      <c r="I10" s="236" t="s">
        <v>168</v>
      </c>
      <c r="K10" s="195">
        <v>42962</v>
      </c>
      <c r="L10" s="196">
        <v>6.9444444444444447E-4</v>
      </c>
      <c r="M10" s="195">
        <v>42963</v>
      </c>
      <c r="N10" s="196">
        <v>0.25</v>
      </c>
      <c r="O10" s="195">
        <v>42961</v>
      </c>
      <c r="P10" s="196">
        <v>0.95833333333333337</v>
      </c>
      <c r="Q10" s="195">
        <v>42962</v>
      </c>
      <c r="R10" s="196">
        <v>6.9444444444444447E-4</v>
      </c>
      <c r="S10" s="195">
        <v>42962</v>
      </c>
      <c r="T10" s="196">
        <v>0.83333333333333337</v>
      </c>
      <c r="U10">
        <v>208</v>
      </c>
      <c r="W10" s="236" t="s">
        <v>81</v>
      </c>
      <c r="X10">
        <v>1000</v>
      </c>
      <c r="Z10">
        <v>900</v>
      </c>
      <c r="AB10">
        <v>1900</v>
      </c>
      <c r="AD10">
        <v>2717</v>
      </c>
      <c r="AG10">
        <v>2600</v>
      </c>
      <c r="AN10">
        <v>0</v>
      </c>
      <c r="AP10" t="s">
        <v>84</v>
      </c>
      <c r="AS10" t="s">
        <v>70</v>
      </c>
      <c r="AT10">
        <v>40</v>
      </c>
      <c r="AU10" t="s">
        <v>65</v>
      </c>
      <c r="AW10" t="s">
        <v>48</v>
      </c>
      <c r="AX10" t="s">
        <v>169</v>
      </c>
      <c r="AY10" t="s">
        <v>170</v>
      </c>
      <c r="AZ10" t="s">
        <v>127</v>
      </c>
      <c r="BA10" t="s">
        <v>128</v>
      </c>
      <c r="BB10" t="s">
        <v>69</v>
      </c>
    </row>
    <row r="11" spans="1:54" x14ac:dyDescent="0.2">
      <c r="A11" t="s">
        <v>60</v>
      </c>
      <c r="B11" t="s">
        <v>171</v>
      </c>
      <c r="G11" s="236" t="s">
        <v>172</v>
      </c>
      <c r="I11" s="236" t="s">
        <v>173</v>
      </c>
      <c r="K11" s="195">
        <v>42967</v>
      </c>
      <c r="L11" s="196">
        <v>0.41666666666666669</v>
      </c>
      <c r="M11" s="195">
        <v>42968</v>
      </c>
      <c r="N11" s="196">
        <v>0.41666666666666669</v>
      </c>
      <c r="O11" s="195">
        <v>42967</v>
      </c>
      <c r="P11" s="196">
        <v>0.375</v>
      </c>
      <c r="Q11" s="195">
        <v>42967</v>
      </c>
      <c r="R11" s="196">
        <v>0.41666666666666669</v>
      </c>
      <c r="S11" s="195">
        <v>42968</v>
      </c>
      <c r="T11" s="196">
        <v>0.41666666666666669</v>
      </c>
      <c r="U11">
        <v>295</v>
      </c>
      <c r="W11" s="236" t="s">
        <v>174</v>
      </c>
      <c r="X11">
        <v>0</v>
      </c>
      <c r="Z11">
        <v>2340</v>
      </c>
      <c r="AB11">
        <v>2340</v>
      </c>
      <c r="AD11">
        <v>3346</v>
      </c>
      <c r="AG11">
        <v>2600</v>
      </c>
      <c r="AK11" t="s">
        <v>48</v>
      </c>
      <c r="AN11">
        <v>0</v>
      </c>
      <c r="AP11" t="s">
        <v>61</v>
      </c>
      <c r="AS11" t="s">
        <v>70</v>
      </c>
      <c r="AT11">
        <v>50</v>
      </c>
      <c r="AU11" t="s">
        <v>65</v>
      </c>
      <c r="AV11" t="s">
        <v>126</v>
      </c>
      <c r="AW11" t="s">
        <v>48</v>
      </c>
      <c r="AX11" t="s">
        <v>66</v>
      </c>
      <c r="AY11" t="s">
        <v>175</v>
      </c>
      <c r="AZ11" t="s">
        <v>127</v>
      </c>
      <c r="BA11" t="s">
        <v>128</v>
      </c>
      <c r="BB11" t="s">
        <v>69</v>
      </c>
    </row>
    <row r="12" spans="1:54" x14ac:dyDescent="0.2">
      <c r="A12" t="s">
        <v>176</v>
      </c>
      <c r="B12" t="s">
        <v>171</v>
      </c>
      <c r="G12" s="236" t="s">
        <v>172</v>
      </c>
      <c r="I12" s="236" t="s">
        <v>177</v>
      </c>
      <c r="K12" s="195">
        <v>42964</v>
      </c>
      <c r="L12" s="196">
        <v>6.9444444444444447E-4</v>
      </c>
      <c r="M12" s="195">
        <v>42965</v>
      </c>
      <c r="N12" s="196">
        <v>0.125</v>
      </c>
      <c r="O12" s="195">
        <v>42964</v>
      </c>
      <c r="P12" s="196">
        <v>6.9444444444444447E-4</v>
      </c>
      <c r="Q12" s="195">
        <v>42964</v>
      </c>
      <c r="R12" s="196">
        <v>6.9444444444444447E-4</v>
      </c>
      <c r="S12" s="195">
        <v>42964</v>
      </c>
      <c r="T12" s="196">
        <v>0.66666666666666663</v>
      </c>
      <c r="U12">
        <v>295</v>
      </c>
      <c r="W12" s="236" t="s">
        <v>110</v>
      </c>
      <c r="X12">
        <v>1390</v>
      </c>
      <c r="Z12">
        <v>0</v>
      </c>
      <c r="AB12">
        <v>1390</v>
      </c>
      <c r="AD12">
        <v>1987</v>
      </c>
      <c r="AG12">
        <v>3000</v>
      </c>
      <c r="AK12" t="s">
        <v>48</v>
      </c>
      <c r="AN12">
        <v>0</v>
      </c>
      <c r="AP12" t="s">
        <v>61</v>
      </c>
      <c r="AS12" t="s">
        <v>70</v>
      </c>
      <c r="AT12">
        <v>50</v>
      </c>
      <c r="AU12" t="s">
        <v>65</v>
      </c>
      <c r="AV12" t="s">
        <v>164</v>
      </c>
      <c r="AW12" t="s">
        <v>48</v>
      </c>
      <c r="AX12" t="s">
        <v>66</v>
      </c>
      <c r="AY12" t="s">
        <v>178</v>
      </c>
      <c r="AZ12" t="s">
        <v>127</v>
      </c>
      <c r="BA12" t="s">
        <v>128</v>
      </c>
      <c r="BB12" t="s">
        <v>69</v>
      </c>
    </row>
    <row r="13" spans="1:54" x14ac:dyDescent="0.2">
      <c r="A13" t="s">
        <v>96</v>
      </c>
      <c r="B13" t="s">
        <v>179</v>
      </c>
      <c r="G13" s="236" t="s">
        <v>180</v>
      </c>
      <c r="I13" s="236" t="s">
        <v>82</v>
      </c>
      <c r="K13" s="195">
        <v>42965</v>
      </c>
      <c r="L13" s="196">
        <v>6.9444444444444447E-4</v>
      </c>
      <c r="M13" s="195">
        <v>42965</v>
      </c>
      <c r="N13" s="196">
        <v>0.625</v>
      </c>
      <c r="O13" s="195">
        <v>42965</v>
      </c>
      <c r="P13" s="196">
        <v>6.9444444444444447E-4</v>
      </c>
      <c r="Q13" s="195">
        <v>42965</v>
      </c>
      <c r="R13" s="196">
        <v>4.1666666666666664E-2</v>
      </c>
      <c r="S13" s="195">
        <v>42965</v>
      </c>
      <c r="T13" s="196">
        <v>0.625</v>
      </c>
      <c r="U13">
        <v>163</v>
      </c>
      <c r="W13" s="236" t="s">
        <v>81</v>
      </c>
      <c r="X13">
        <v>600</v>
      </c>
      <c r="Z13">
        <v>600</v>
      </c>
      <c r="AB13">
        <v>1200</v>
      </c>
      <c r="AD13">
        <v>1716</v>
      </c>
      <c r="AG13">
        <v>700</v>
      </c>
      <c r="AN13">
        <v>0</v>
      </c>
      <c r="AP13" t="s">
        <v>59</v>
      </c>
      <c r="AS13" t="s">
        <v>79</v>
      </c>
      <c r="AT13">
        <v>30</v>
      </c>
      <c r="AU13" t="s">
        <v>65</v>
      </c>
      <c r="AW13" t="s">
        <v>48</v>
      </c>
      <c r="AX13" t="s">
        <v>66</v>
      </c>
      <c r="AY13" t="s">
        <v>181</v>
      </c>
      <c r="AZ13" t="s">
        <v>129</v>
      </c>
      <c r="BA13" t="s">
        <v>130</v>
      </c>
      <c r="BB13" t="s">
        <v>69</v>
      </c>
    </row>
    <row r="14" spans="1:54" x14ac:dyDescent="0.2">
      <c r="A14" t="s">
        <v>85</v>
      </c>
      <c r="B14" t="s">
        <v>182</v>
      </c>
      <c r="G14" s="236" t="s">
        <v>183</v>
      </c>
      <c r="I14" s="236" t="s">
        <v>184</v>
      </c>
      <c r="K14" s="195">
        <v>42964</v>
      </c>
      <c r="L14" s="196">
        <v>0.54166666666666663</v>
      </c>
      <c r="M14" s="195">
        <v>42965</v>
      </c>
      <c r="N14" s="196">
        <v>0.79166666666666663</v>
      </c>
      <c r="O14" s="195">
        <v>42964</v>
      </c>
      <c r="P14" s="196">
        <v>0.5</v>
      </c>
      <c r="Q14" s="195">
        <v>42964</v>
      </c>
      <c r="R14" s="196">
        <v>0.54166666666666663</v>
      </c>
      <c r="S14" s="195">
        <v>42965</v>
      </c>
      <c r="T14" s="196">
        <v>0.45833333333333331</v>
      </c>
      <c r="U14">
        <v>195</v>
      </c>
      <c r="W14" s="236" t="s">
        <v>81</v>
      </c>
      <c r="X14">
        <v>700</v>
      </c>
      <c r="Z14">
        <v>700</v>
      </c>
      <c r="AB14">
        <v>1400</v>
      </c>
      <c r="AD14">
        <v>2002</v>
      </c>
      <c r="AG14">
        <v>2000</v>
      </c>
      <c r="AN14">
        <v>0</v>
      </c>
      <c r="AP14" t="s">
        <v>59</v>
      </c>
      <c r="AS14" t="s">
        <v>64</v>
      </c>
      <c r="AT14">
        <v>80</v>
      </c>
      <c r="AU14" t="s">
        <v>65</v>
      </c>
      <c r="AW14" t="s">
        <v>48</v>
      </c>
      <c r="AX14" t="s">
        <v>66</v>
      </c>
      <c r="AY14" t="s">
        <v>185</v>
      </c>
      <c r="AZ14" t="s">
        <v>67</v>
      </c>
      <c r="BA14" t="s">
        <v>68</v>
      </c>
      <c r="BB14" t="s">
        <v>69</v>
      </c>
    </row>
    <row r="15" spans="1:54" x14ac:dyDescent="0.2">
      <c r="A15" t="s">
        <v>99</v>
      </c>
      <c r="B15" t="s">
        <v>186</v>
      </c>
      <c r="G15" s="236" t="s">
        <v>187</v>
      </c>
      <c r="I15" s="236" t="s">
        <v>188</v>
      </c>
      <c r="K15" s="195">
        <v>42965</v>
      </c>
      <c r="L15" s="196">
        <v>0.33333333333333331</v>
      </c>
      <c r="M15" s="195">
        <v>42967</v>
      </c>
      <c r="N15" s="196">
        <v>0.33333333333333331</v>
      </c>
      <c r="O15" s="195">
        <v>42965</v>
      </c>
      <c r="P15" s="196">
        <v>0.29166666666666669</v>
      </c>
      <c r="Q15" s="195">
        <v>42965</v>
      </c>
      <c r="R15" s="196">
        <v>0.33333333333333331</v>
      </c>
      <c r="S15" s="195">
        <v>42967</v>
      </c>
      <c r="T15" s="196">
        <v>0.33333333333333331</v>
      </c>
      <c r="U15">
        <v>255</v>
      </c>
      <c r="W15" s="236" t="s">
        <v>81</v>
      </c>
      <c r="X15">
        <v>2150</v>
      </c>
      <c r="Z15">
        <v>2552</v>
      </c>
      <c r="AB15">
        <v>4702</v>
      </c>
      <c r="AD15">
        <v>6723</v>
      </c>
      <c r="AG15">
        <v>4500</v>
      </c>
      <c r="AK15" t="s">
        <v>48</v>
      </c>
      <c r="AN15">
        <v>0</v>
      </c>
      <c r="AP15" t="s">
        <v>61</v>
      </c>
      <c r="AS15" t="s">
        <v>70</v>
      </c>
      <c r="AT15">
        <v>78</v>
      </c>
      <c r="AU15" t="s">
        <v>65</v>
      </c>
      <c r="AW15" t="s">
        <v>48</v>
      </c>
      <c r="AX15" t="s">
        <v>66</v>
      </c>
      <c r="AY15" t="s">
        <v>189</v>
      </c>
      <c r="AZ15" t="s">
        <v>127</v>
      </c>
      <c r="BA15" t="s">
        <v>128</v>
      </c>
      <c r="BB15" t="s">
        <v>69</v>
      </c>
    </row>
    <row r="16" spans="1:54" x14ac:dyDescent="0.2">
      <c r="A16" t="s">
        <v>92</v>
      </c>
      <c r="B16" t="s">
        <v>190</v>
      </c>
      <c r="G16" s="236" t="s">
        <v>191</v>
      </c>
      <c r="I16" s="236" t="s">
        <v>192</v>
      </c>
      <c r="K16" s="195">
        <v>42963</v>
      </c>
      <c r="L16" s="196">
        <v>0.625</v>
      </c>
      <c r="M16" s="195">
        <v>42964</v>
      </c>
      <c r="N16" s="196">
        <v>0.45833333333333331</v>
      </c>
      <c r="O16" s="195">
        <v>42963</v>
      </c>
      <c r="P16" s="196">
        <v>0.54166666666666663</v>
      </c>
      <c r="Q16" s="195">
        <v>42963</v>
      </c>
      <c r="R16" s="196">
        <v>0.58333333333333337</v>
      </c>
      <c r="S16" s="195">
        <v>42964</v>
      </c>
      <c r="T16" s="196">
        <v>0.41666666666666669</v>
      </c>
      <c r="U16">
        <v>200</v>
      </c>
      <c r="W16" s="236" t="s">
        <v>81</v>
      </c>
      <c r="X16">
        <v>450</v>
      </c>
      <c r="Z16">
        <v>450</v>
      </c>
      <c r="AB16">
        <v>900</v>
      </c>
      <c r="AD16">
        <v>1287</v>
      </c>
      <c r="AG16">
        <v>900</v>
      </c>
      <c r="AN16">
        <v>0</v>
      </c>
      <c r="AP16" t="s">
        <v>78</v>
      </c>
      <c r="AS16" t="s">
        <v>64</v>
      </c>
      <c r="AT16">
        <v>80</v>
      </c>
      <c r="AU16" t="s">
        <v>65</v>
      </c>
      <c r="AV16" t="s">
        <v>193</v>
      </c>
      <c r="AW16" t="s">
        <v>48</v>
      </c>
      <c r="AX16" t="s">
        <v>194</v>
      </c>
      <c r="AY16" t="s">
        <v>195</v>
      </c>
      <c r="AZ16" t="s">
        <v>67</v>
      </c>
      <c r="BA16" t="s">
        <v>68</v>
      </c>
      <c r="BB16" t="s">
        <v>69</v>
      </c>
    </row>
    <row r="17" spans="1:54" x14ac:dyDescent="0.2">
      <c r="A17" t="s">
        <v>93</v>
      </c>
      <c r="B17" t="s">
        <v>196</v>
      </c>
      <c r="G17" s="236" t="s">
        <v>197</v>
      </c>
      <c r="I17" s="236" t="s">
        <v>198</v>
      </c>
      <c r="K17" s="195">
        <v>42964</v>
      </c>
      <c r="L17" s="196">
        <v>0.41666666666666669</v>
      </c>
      <c r="M17" s="195">
        <v>42964</v>
      </c>
      <c r="N17" s="196">
        <v>0.91666666666666663</v>
      </c>
      <c r="O17" s="195">
        <v>42964</v>
      </c>
      <c r="P17" s="196">
        <v>0.83333333333333337</v>
      </c>
      <c r="Q17" s="195">
        <v>42964</v>
      </c>
      <c r="R17" s="196">
        <v>0.875</v>
      </c>
      <c r="S17" s="195">
        <v>42965</v>
      </c>
      <c r="T17" s="196">
        <v>0.125</v>
      </c>
      <c r="U17">
        <v>172</v>
      </c>
      <c r="W17" s="236" t="s">
        <v>77</v>
      </c>
      <c r="X17">
        <v>500</v>
      </c>
      <c r="Z17">
        <v>0</v>
      </c>
      <c r="AB17">
        <v>500</v>
      </c>
      <c r="AD17">
        <v>715</v>
      </c>
      <c r="AG17">
        <v>400</v>
      </c>
      <c r="AN17">
        <v>0</v>
      </c>
      <c r="AP17" t="s">
        <v>89</v>
      </c>
      <c r="AS17" t="s">
        <v>70</v>
      </c>
      <c r="AT17">
        <v>173</v>
      </c>
      <c r="AU17" t="s">
        <v>65</v>
      </c>
      <c r="AV17" t="s">
        <v>199</v>
      </c>
      <c r="AW17" t="s">
        <v>48</v>
      </c>
      <c r="AX17" t="s">
        <v>132</v>
      </c>
      <c r="AY17" t="s">
        <v>200</v>
      </c>
      <c r="AZ17" t="s">
        <v>127</v>
      </c>
      <c r="BA17" t="s">
        <v>128</v>
      </c>
      <c r="BB17" t="s">
        <v>69</v>
      </c>
    </row>
    <row r="18" spans="1:54" x14ac:dyDescent="0.2">
      <c r="A18" t="s">
        <v>201</v>
      </c>
      <c r="B18" t="s">
        <v>202</v>
      </c>
      <c r="G18" s="236" t="s">
        <v>203</v>
      </c>
      <c r="I18" s="236" t="s">
        <v>204</v>
      </c>
      <c r="K18" s="195">
        <v>42961</v>
      </c>
      <c r="L18" s="196">
        <v>4.1666666666666664E-2</v>
      </c>
      <c r="M18" s="195">
        <v>42961</v>
      </c>
      <c r="N18" s="196">
        <v>0.45833333333333331</v>
      </c>
      <c r="O18" s="195">
        <v>42963</v>
      </c>
      <c r="P18" s="196">
        <v>0.33333333333333331</v>
      </c>
      <c r="Q18" s="195">
        <v>42963</v>
      </c>
      <c r="R18" s="196">
        <v>0.375</v>
      </c>
      <c r="S18" s="195">
        <v>42963</v>
      </c>
      <c r="T18" s="196">
        <v>0.70833333333333337</v>
      </c>
      <c r="U18">
        <v>173</v>
      </c>
      <c r="W18" s="236" t="s">
        <v>81</v>
      </c>
      <c r="X18">
        <v>450</v>
      </c>
      <c r="Z18">
        <v>350</v>
      </c>
      <c r="AB18">
        <v>800</v>
      </c>
      <c r="AD18">
        <v>1144</v>
      </c>
      <c r="AG18">
        <v>800</v>
      </c>
      <c r="AN18">
        <v>0</v>
      </c>
      <c r="AP18" t="s">
        <v>160</v>
      </c>
      <c r="AS18" t="s">
        <v>79</v>
      </c>
      <c r="AT18">
        <v>30</v>
      </c>
      <c r="AU18" t="s">
        <v>65</v>
      </c>
      <c r="AV18" t="s">
        <v>205</v>
      </c>
      <c r="AW18" t="s">
        <v>48</v>
      </c>
      <c r="AX18" t="s">
        <v>206</v>
      </c>
      <c r="AY18" t="s">
        <v>207</v>
      </c>
      <c r="AZ18" t="s">
        <v>129</v>
      </c>
      <c r="BA18" t="s">
        <v>130</v>
      </c>
      <c r="BB18" t="s">
        <v>69</v>
      </c>
    </row>
    <row r="19" spans="1:54" x14ac:dyDescent="0.2">
      <c r="A19" t="s">
        <v>74</v>
      </c>
      <c r="B19" t="s">
        <v>208</v>
      </c>
      <c r="G19" s="236" t="s">
        <v>209</v>
      </c>
      <c r="I19" s="236" t="s">
        <v>210</v>
      </c>
      <c r="K19" s="195">
        <v>42965</v>
      </c>
      <c r="L19" s="196">
        <v>0.875</v>
      </c>
      <c r="M19" s="195">
        <v>42966</v>
      </c>
      <c r="N19" s="196">
        <v>0.125</v>
      </c>
      <c r="O19" s="195">
        <v>42967</v>
      </c>
      <c r="P19" s="196">
        <v>0.66666666666666663</v>
      </c>
      <c r="Q19" s="195">
        <v>42967</v>
      </c>
      <c r="R19" s="196">
        <v>0.70833333333333337</v>
      </c>
      <c r="S19" s="195">
        <v>42967</v>
      </c>
      <c r="T19" s="196">
        <v>0.95833333333333337</v>
      </c>
      <c r="U19">
        <v>172</v>
      </c>
      <c r="W19" s="236" t="s">
        <v>77</v>
      </c>
      <c r="X19">
        <v>300</v>
      </c>
      <c r="Z19">
        <v>0</v>
      </c>
      <c r="AB19">
        <v>300</v>
      </c>
      <c r="AD19">
        <v>429</v>
      </c>
      <c r="AG19">
        <v>300</v>
      </c>
      <c r="AN19">
        <v>0</v>
      </c>
      <c r="AP19" t="s">
        <v>211</v>
      </c>
      <c r="AS19" t="s">
        <v>79</v>
      </c>
      <c r="AT19">
        <v>30</v>
      </c>
      <c r="AU19" t="s">
        <v>65</v>
      </c>
      <c r="AV19" t="s">
        <v>80</v>
      </c>
      <c r="AW19" t="s">
        <v>48</v>
      </c>
      <c r="AX19" t="s">
        <v>120</v>
      </c>
      <c r="AY19" t="s">
        <v>212</v>
      </c>
      <c r="AZ19" t="s">
        <v>129</v>
      </c>
      <c r="BA19" t="s">
        <v>130</v>
      </c>
      <c r="BB19" t="s">
        <v>69</v>
      </c>
    </row>
    <row r="20" spans="1:54" x14ac:dyDescent="0.2">
      <c r="A20" t="s">
        <v>146</v>
      </c>
      <c r="B20" t="s">
        <v>196</v>
      </c>
      <c r="G20" s="236" t="s">
        <v>197</v>
      </c>
      <c r="I20" s="236" t="s">
        <v>213</v>
      </c>
      <c r="K20" s="195">
        <v>42966</v>
      </c>
      <c r="L20" s="196">
        <v>0.41666666666666669</v>
      </c>
      <c r="M20" s="195">
        <v>42966</v>
      </c>
      <c r="N20" s="196">
        <v>0.91666666666666663</v>
      </c>
      <c r="O20" s="195">
        <v>42966</v>
      </c>
      <c r="P20" s="196">
        <v>0.75</v>
      </c>
      <c r="Q20" s="195">
        <v>42966</v>
      </c>
      <c r="R20" s="196">
        <v>0.79166666666666663</v>
      </c>
      <c r="S20" s="195">
        <v>42967</v>
      </c>
      <c r="T20" s="196">
        <v>0.20833333333333334</v>
      </c>
      <c r="U20">
        <v>172</v>
      </c>
      <c r="W20" s="236" t="s">
        <v>77</v>
      </c>
      <c r="X20">
        <v>0</v>
      </c>
      <c r="Z20">
        <v>400</v>
      </c>
      <c r="AB20">
        <v>400</v>
      </c>
      <c r="AD20">
        <v>572</v>
      </c>
      <c r="AG20">
        <v>400</v>
      </c>
      <c r="AN20">
        <v>0</v>
      </c>
      <c r="AP20" t="s">
        <v>89</v>
      </c>
      <c r="AS20" t="s">
        <v>79</v>
      </c>
      <c r="AT20">
        <v>30</v>
      </c>
      <c r="AU20" t="s">
        <v>65</v>
      </c>
      <c r="AV20" t="s">
        <v>126</v>
      </c>
      <c r="AW20" t="s">
        <v>48</v>
      </c>
      <c r="AX20" t="s">
        <v>132</v>
      </c>
      <c r="AY20" t="s">
        <v>214</v>
      </c>
      <c r="AZ20" t="s">
        <v>129</v>
      </c>
      <c r="BA20" t="s">
        <v>130</v>
      </c>
      <c r="BB20" t="s">
        <v>69</v>
      </c>
    </row>
    <row r="21" spans="1:54" x14ac:dyDescent="0.2">
      <c r="A21" t="s">
        <v>63</v>
      </c>
      <c r="B21" t="s">
        <v>215</v>
      </c>
      <c r="G21" s="236" t="s">
        <v>216</v>
      </c>
      <c r="I21" s="236" t="s">
        <v>82</v>
      </c>
      <c r="K21" s="195">
        <v>42967</v>
      </c>
      <c r="L21" s="196">
        <v>0.83333333333333337</v>
      </c>
      <c r="M21" s="195">
        <v>42968</v>
      </c>
      <c r="N21" s="196">
        <v>0.91666666666666663</v>
      </c>
      <c r="O21" s="195">
        <v>42967</v>
      </c>
      <c r="P21" s="196">
        <v>0.79166666666666663</v>
      </c>
      <c r="Q21" s="195">
        <v>42967</v>
      </c>
      <c r="R21" s="196">
        <v>0.83333333333333337</v>
      </c>
      <c r="S21" s="195">
        <v>42968</v>
      </c>
      <c r="T21" s="196">
        <v>0.91666666666666663</v>
      </c>
      <c r="U21">
        <v>163</v>
      </c>
      <c r="W21" s="236" t="s">
        <v>81</v>
      </c>
      <c r="X21">
        <v>800</v>
      </c>
      <c r="Z21">
        <v>1350</v>
      </c>
      <c r="AB21">
        <v>2150</v>
      </c>
      <c r="AD21">
        <v>3074</v>
      </c>
      <c r="AG21">
        <v>3000</v>
      </c>
      <c r="AN21">
        <v>0</v>
      </c>
      <c r="AP21" t="s">
        <v>59</v>
      </c>
      <c r="AS21" t="s">
        <v>64</v>
      </c>
      <c r="AT21">
        <v>80</v>
      </c>
      <c r="AU21" t="s">
        <v>65</v>
      </c>
      <c r="AW21" t="s">
        <v>48</v>
      </c>
      <c r="AX21" t="s">
        <v>66</v>
      </c>
      <c r="AY21" t="s">
        <v>217</v>
      </c>
      <c r="AZ21" t="s">
        <v>67</v>
      </c>
      <c r="BA21" t="s">
        <v>68</v>
      </c>
      <c r="BB21" t="s">
        <v>69</v>
      </c>
    </row>
    <row r="22" spans="1:54" x14ac:dyDescent="0.2">
      <c r="A22" t="s">
        <v>105</v>
      </c>
      <c r="B22" t="s">
        <v>121</v>
      </c>
      <c r="G22" s="236" t="s">
        <v>105</v>
      </c>
      <c r="I22" s="236" t="s">
        <v>103</v>
      </c>
      <c r="K22" s="195">
        <v>42960</v>
      </c>
      <c r="L22" s="196">
        <v>0.875</v>
      </c>
      <c r="M22" s="195">
        <v>42962</v>
      </c>
      <c r="N22" s="196">
        <v>4.1666666666666664E-2</v>
      </c>
      <c r="O22" s="195">
        <v>42960</v>
      </c>
      <c r="P22" s="196">
        <v>0.83333333333333337</v>
      </c>
      <c r="Q22" s="195">
        <v>42960</v>
      </c>
      <c r="R22" s="196">
        <v>0.875</v>
      </c>
      <c r="S22" s="195">
        <v>42962</v>
      </c>
      <c r="T22" s="196">
        <v>4.1666666666666664E-2</v>
      </c>
      <c r="U22">
        <v>265</v>
      </c>
      <c r="X22">
        <v>0</v>
      </c>
      <c r="Z22">
        <v>0</v>
      </c>
      <c r="AB22">
        <v>0</v>
      </c>
      <c r="AD22">
        <v>0</v>
      </c>
      <c r="AG22">
        <v>0</v>
      </c>
      <c r="AN22">
        <v>0</v>
      </c>
      <c r="AP22" t="s">
        <v>106</v>
      </c>
      <c r="AS22" t="s">
        <v>105</v>
      </c>
      <c r="AT22">
        <v>370</v>
      </c>
      <c r="AU22" t="s">
        <v>65</v>
      </c>
      <c r="AV22" t="s">
        <v>109</v>
      </c>
      <c r="AW22" t="s">
        <v>48</v>
      </c>
      <c r="AX22" t="s">
        <v>107</v>
      </c>
      <c r="AY22" t="s">
        <v>122</v>
      </c>
      <c r="AZ22" t="s">
        <v>108</v>
      </c>
      <c r="BA22" t="s">
        <v>104</v>
      </c>
      <c r="BB22" t="s">
        <v>69</v>
      </c>
    </row>
    <row r="23" spans="1:54" x14ac:dyDescent="0.2">
      <c r="A23" t="s">
        <v>105</v>
      </c>
      <c r="B23" t="s">
        <v>218</v>
      </c>
      <c r="G23" s="236" t="s">
        <v>105</v>
      </c>
      <c r="I23" s="236" t="s">
        <v>103</v>
      </c>
      <c r="K23" s="195">
        <v>42964</v>
      </c>
      <c r="L23" s="196">
        <v>0.25</v>
      </c>
      <c r="M23" s="195">
        <v>42964</v>
      </c>
      <c r="N23" s="196">
        <v>0.79166666666666663</v>
      </c>
      <c r="O23" s="195">
        <v>42964</v>
      </c>
      <c r="P23" s="196">
        <v>0.20833333333333334</v>
      </c>
      <c r="Q23" s="195">
        <v>42964</v>
      </c>
      <c r="R23" s="196">
        <v>0.25</v>
      </c>
      <c r="S23" s="195">
        <v>42964</v>
      </c>
      <c r="T23" s="196">
        <v>0.79166666666666663</v>
      </c>
      <c r="U23">
        <v>182</v>
      </c>
      <c r="X23">
        <v>0</v>
      </c>
      <c r="Z23">
        <v>0</v>
      </c>
      <c r="AB23">
        <v>0</v>
      </c>
      <c r="AD23">
        <v>0</v>
      </c>
      <c r="AG23">
        <v>0</v>
      </c>
      <c r="AN23">
        <v>0</v>
      </c>
      <c r="AP23" t="s">
        <v>106</v>
      </c>
      <c r="AS23" t="s">
        <v>105</v>
      </c>
      <c r="AT23">
        <v>410</v>
      </c>
      <c r="AU23" t="s">
        <v>65</v>
      </c>
      <c r="AV23" t="s">
        <v>219</v>
      </c>
      <c r="AW23" t="s">
        <v>48</v>
      </c>
      <c r="AX23" t="s">
        <v>107</v>
      </c>
      <c r="AY23" t="s">
        <v>220</v>
      </c>
      <c r="AZ23" t="s">
        <v>108</v>
      </c>
      <c r="BA23" t="s">
        <v>104</v>
      </c>
      <c r="BB23" t="s">
        <v>69</v>
      </c>
    </row>
    <row r="24" spans="1:54" x14ac:dyDescent="0.2">
      <c r="A24" t="s">
        <v>105</v>
      </c>
      <c r="B24" t="s">
        <v>221</v>
      </c>
      <c r="G24" s="236" t="s">
        <v>105</v>
      </c>
      <c r="I24" s="236" t="s">
        <v>103</v>
      </c>
      <c r="K24" s="195">
        <v>42965</v>
      </c>
      <c r="L24" s="196">
        <v>4.1666666666666664E-2</v>
      </c>
      <c r="M24" s="195">
        <v>42966</v>
      </c>
      <c r="N24" s="196">
        <v>0.70833333333333337</v>
      </c>
      <c r="O24" s="195">
        <v>42965</v>
      </c>
      <c r="P24" s="196">
        <v>6.9444444444444447E-4</v>
      </c>
      <c r="Q24" s="195">
        <v>42965</v>
      </c>
      <c r="R24" s="196">
        <v>4.1666666666666664E-2</v>
      </c>
      <c r="S24" s="195">
        <v>42966</v>
      </c>
      <c r="T24" s="196">
        <v>0.70833333333333337</v>
      </c>
      <c r="U24">
        <v>240</v>
      </c>
      <c r="X24">
        <v>0</v>
      </c>
      <c r="Z24">
        <v>0</v>
      </c>
      <c r="AB24">
        <v>0</v>
      </c>
      <c r="AD24">
        <v>0</v>
      </c>
      <c r="AG24">
        <v>0</v>
      </c>
      <c r="AN24">
        <v>0</v>
      </c>
      <c r="AP24" t="s">
        <v>106</v>
      </c>
      <c r="AS24" t="s">
        <v>105</v>
      </c>
      <c r="AT24">
        <v>370</v>
      </c>
      <c r="AU24" t="s">
        <v>65</v>
      </c>
      <c r="AV24" t="s">
        <v>109</v>
      </c>
      <c r="AW24" t="s">
        <v>48</v>
      </c>
      <c r="AX24" t="s">
        <v>107</v>
      </c>
      <c r="AY24" t="s">
        <v>222</v>
      </c>
      <c r="AZ24" t="s">
        <v>108</v>
      </c>
      <c r="BA24" t="s">
        <v>104</v>
      </c>
      <c r="BB24" t="s">
        <v>69</v>
      </c>
    </row>
    <row r="25" spans="1:54" x14ac:dyDescent="0.2">
      <c r="A25" t="s">
        <v>105</v>
      </c>
      <c r="B25" t="s">
        <v>223</v>
      </c>
      <c r="G25" s="236" t="s">
        <v>224</v>
      </c>
      <c r="I25" s="236" t="s">
        <v>105</v>
      </c>
      <c r="K25" s="195">
        <v>42966</v>
      </c>
      <c r="L25" s="196">
        <v>0.79166666666666663</v>
      </c>
      <c r="M25" s="195">
        <v>42967</v>
      </c>
      <c r="N25" s="196">
        <v>0.83333333333333337</v>
      </c>
      <c r="O25" s="195">
        <v>42966</v>
      </c>
      <c r="P25" s="196">
        <v>0.75</v>
      </c>
      <c r="Q25" s="195">
        <v>42966</v>
      </c>
      <c r="R25" s="196">
        <v>0.79166666666666663</v>
      </c>
      <c r="S25" s="195">
        <v>42967</v>
      </c>
      <c r="T25" s="196">
        <v>0.83333333333333337</v>
      </c>
      <c r="U25">
        <v>294</v>
      </c>
      <c r="X25">
        <v>0</v>
      </c>
      <c r="Z25">
        <v>0</v>
      </c>
      <c r="AB25">
        <v>0</v>
      </c>
      <c r="AD25">
        <v>0</v>
      </c>
      <c r="AG25">
        <v>0</v>
      </c>
      <c r="AN25">
        <v>0</v>
      </c>
      <c r="AP25" t="s">
        <v>106</v>
      </c>
      <c r="AS25" t="s">
        <v>105</v>
      </c>
      <c r="AT25">
        <v>370</v>
      </c>
      <c r="AU25" t="s">
        <v>65</v>
      </c>
      <c r="AV25" t="s">
        <v>109</v>
      </c>
      <c r="AW25" t="s">
        <v>48</v>
      </c>
      <c r="AX25" t="s">
        <v>107</v>
      </c>
      <c r="AY25" t="s">
        <v>225</v>
      </c>
      <c r="AZ25" t="s">
        <v>108</v>
      </c>
      <c r="BA25" t="s">
        <v>104</v>
      </c>
      <c r="BB25" t="s">
        <v>69</v>
      </c>
    </row>
    <row r="26" spans="1:54" x14ac:dyDescent="0.2">
      <c r="A26" t="s">
        <v>97</v>
      </c>
      <c r="B26" t="s">
        <v>226</v>
      </c>
      <c r="G26" s="236" t="s">
        <v>227</v>
      </c>
      <c r="I26" s="236" t="s">
        <v>228</v>
      </c>
      <c r="K26" s="195">
        <v>42967</v>
      </c>
      <c r="L26" s="196">
        <v>8.3333333333333329E-2</v>
      </c>
      <c r="M26" s="195">
        <v>42968</v>
      </c>
      <c r="N26" s="196">
        <v>6.9444444444444447E-4</v>
      </c>
      <c r="O26" s="195">
        <v>42967</v>
      </c>
      <c r="P26" s="196">
        <v>4.1666666666666664E-2</v>
      </c>
      <c r="Q26" s="195">
        <v>42967</v>
      </c>
      <c r="R26" s="196">
        <v>8.3333333333333329E-2</v>
      </c>
      <c r="S26" s="195">
        <v>42967</v>
      </c>
      <c r="T26" s="196">
        <v>0.70833333333333337</v>
      </c>
      <c r="U26">
        <v>176</v>
      </c>
      <c r="W26" s="236" t="s">
        <v>77</v>
      </c>
      <c r="X26">
        <v>0</v>
      </c>
      <c r="Z26">
        <v>0</v>
      </c>
      <c r="AB26">
        <v>0</v>
      </c>
      <c r="AD26">
        <v>0</v>
      </c>
      <c r="AG26">
        <v>1200</v>
      </c>
      <c r="AN26">
        <v>0</v>
      </c>
      <c r="AP26" t="s">
        <v>59</v>
      </c>
      <c r="AS26" t="s">
        <v>64</v>
      </c>
      <c r="AT26">
        <v>80</v>
      </c>
      <c r="AU26" t="s">
        <v>65</v>
      </c>
      <c r="AW26" t="s">
        <v>48</v>
      </c>
      <c r="AX26" t="s">
        <v>66</v>
      </c>
      <c r="AY26" t="s">
        <v>229</v>
      </c>
      <c r="AZ26" t="s">
        <v>67</v>
      </c>
      <c r="BA26" t="s">
        <v>68</v>
      </c>
      <c r="BB26" t="s">
        <v>69</v>
      </c>
    </row>
    <row r="27" spans="1:54" x14ac:dyDescent="0.2">
      <c r="A27" t="s">
        <v>111</v>
      </c>
      <c r="B27" t="s">
        <v>230</v>
      </c>
      <c r="G27" s="236" t="s">
        <v>231</v>
      </c>
      <c r="I27" s="236" t="s">
        <v>232</v>
      </c>
      <c r="K27" s="195">
        <v>42968</v>
      </c>
      <c r="L27" s="196">
        <v>6.9444444444444447E-4</v>
      </c>
      <c r="M27" s="195">
        <v>42968</v>
      </c>
      <c r="N27" s="196">
        <v>0.45833333333333331</v>
      </c>
      <c r="O27" s="195">
        <v>42965</v>
      </c>
      <c r="P27" s="196">
        <v>0.25</v>
      </c>
      <c r="Q27" s="195">
        <v>42965</v>
      </c>
      <c r="R27" s="196">
        <v>0.5</v>
      </c>
      <c r="S27" s="195">
        <v>42965</v>
      </c>
      <c r="T27" s="196">
        <v>0.83333333333333337</v>
      </c>
      <c r="U27">
        <v>169</v>
      </c>
      <c r="W27" s="236" t="s">
        <v>77</v>
      </c>
      <c r="X27">
        <v>0</v>
      </c>
      <c r="Z27">
        <v>0</v>
      </c>
      <c r="AB27">
        <v>0</v>
      </c>
      <c r="AD27">
        <v>0</v>
      </c>
      <c r="AG27">
        <v>350</v>
      </c>
      <c r="AN27">
        <v>0</v>
      </c>
      <c r="AP27" t="s">
        <v>78</v>
      </c>
      <c r="AS27" t="s">
        <v>64</v>
      </c>
      <c r="AT27">
        <v>80</v>
      </c>
      <c r="AU27" t="s">
        <v>65</v>
      </c>
      <c r="AW27" t="s">
        <v>48</v>
      </c>
      <c r="AX27" t="s">
        <v>206</v>
      </c>
      <c r="AY27" t="s">
        <v>233</v>
      </c>
      <c r="AZ27" t="s">
        <v>67</v>
      </c>
      <c r="BA27" t="s">
        <v>68</v>
      </c>
      <c r="BB27" t="s">
        <v>69</v>
      </c>
    </row>
    <row r="28" spans="1:54" x14ac:dyDescent="0.2">
      <c r="A28" t="s">
        <v>91</v>
      </c>
      <c r="B28" t="s">
        <v>75</v>
      </c>
      <c r="G28" s="236" t="s">
        <v>76</v>
      </c>
      <c r="I28" s="236" t="s">
        <v>139</v>
      </c>
      <c r="K28" s="195">
        <v>42961</v>
      </c>
      <c r="L28" s="196">
        <v>0.29166666666666669</v>
      </c>
      <c r="M28" s="195">
        <v>42961</v>
      </c>
      <c r="N28" s="196">
        <v>0.66666666666666663</v>
      </c>
      <c r="O28" s="195">
        <v>42963</v>
      </c>
      <c r="P28" s="196">
        <v>0.875</v>
      </c>
      <c r="Q28" s="195">
        <v>42964</v>
      </c>
      <c r="R28" s="196">
        <v>0.20833333333333334</v>
      </c>
      <c r="S28" s="195">
        <v>42964</v>
      </c>
      <c r="T28" s="196">
        <v>0.625</v>
      </c>
      <c r="U28">
        <v>173</v>
      </c>
      <c r="X28">
        <v>0</v>
      </c>
      <c r="Z28">
        <v>350</v>
      </c>
      <c r="AB28">
        <v>350</v>
      </c>
      <c r="AD28">
        <v>500</v>
      </c>
      <c r="AG28">
        <v>350</v>
      </c>
      <c r="AN28">
        <v>0</v>
      </c>
      <c r="AP28" t="s">
        <v>78</v>
      </c>
      <c r="AS28" t="s">
        <v>79</v>
      </c>
      <c r="AT28">
        <v>30</v>
      </c>
      <c r="AU28" t="s">
        <v>65</v>
      </c>
      <c r="AV28" t="s">
        <v>126</v>
      </c>
      <c r="AW28" t="s">
        <v>48</v>
      </c>
      <c r="AX28" t="s">
        <v>120</v>
      </c>
      <c r="AY28" t="s">
        <v>234</v>
      </c>
      <c r="AZ28" t="s">
        <v>129</v>
      </c>
      <c r="BA28" t="s">
        <v>130</v>
      </c>
      <c r="BB28" t="s">
        <v>69</v>
      </c>
    </row>
    <row r="29" spans="1:54" ht="25.5" x14ac:dyDescent="0.2">
      <c r="A29" t="s">
        <v>235</v>
      </c>
      <c r="B29" t="s">
        <v>235</v>
      </c>
      <c r="G29" s="236" t="s">
        <v>236</v>
      </c>
      <c r="I29" s="236" t="s">
        <v>103</v>
      </c>
      <c r="K29" s="195">
        <v>42968</v>
      </c>
      <c r="L29" s="196">
        <v>0.25</v>
      </c>
      <c r="M29" s="195">
        <v>42968</v>
      </c>
      <c r="N29" s="196">
        <v>0.75</v>
      </c>
      <c r="O29" s="195">
        <v>42967</v>
      </c>
      <c r="P29" s="196">
        <v>0.20833333333333334</v>
      </c>
      <c r="Q29" s="195">
        <v>42967</v>
      </c>
      <c r="R29" s="196">
        <v>0.25</v>
      </c>
      <c r="S29" s="195">
        <v>42967</v>
      </c>
      <c r="T29" s="196">
        <v>0.66666666666666663</v>
      </c>
      <c r="U29">
        <v>80</v>
      </c>
      <c r="X29">
        <v>0</v>
      </c>
      <c r="Z29">
        <v>0</v>
      </c>
      <c r="AB29">
        <v>0</v>
      </c>
      <c r="AD29">
        <v>0</v>
      </c>
      <c r="AG29">
        <v>0</v>
      </c>
      <c r="AN29">
        <v>0</v>
      </c>
      <c r="AP29" t="s">
        <v>64</v>
      </c>
      <c r="AS29" t="s">
        <v>79</v>
      </c>
      <c r="AT29">
        <v>5</v>
      </c>
      <c r="AU29" t="s">
        <v>237</v>
      </c>
      <c r="AV29" s="254" t="s">
        <v>238</v>
      </c>
      <c r="AW29" t="s">
        <v>48</v>
      </c>
      <c r="AX29" t="s">
        <v>239</v>
      </c>
      <c r="AY29" t="s">
        <v>240</v>
      </c>
      <c r="AZ29" t="s">
        <v>129</v>
      </c>
      <c r="BA29" t="s">
        <v>130</v>
      </c>
      <c r="BB29" t="s">
        <v>69</v>
      </c>
    </row>
    <row r="30" spans="1:54" x14ac:dyDescent="0.2">
      <c r="A30" t="s">
        <v>241</v>
      </c>
      <c r="B30" t="s">
        <v>242</v>
      </c>
      <c r="G30" s="236" t="s">
        <v>242</v>
      </c>
      <c r="I30" s="236" t="s">
        <v>243</v>
      </c>
      <c r="K30" s="195">
        <v>42961</v>
      </c>
      <c r="L30" s="196">
        <v>6.9444444444444447E-4</v>
      </c>
      <c r="M30" s="195">
        <v>42961</v>
      </c>
      <c r="N30" s="196">
        <v>0.16666666666666666</v>
      </c>
      <c r="O30" s="195">
        <v>42961</v>
      </c>
      <c r="P30" s="196">
        <v>6.9444444444444447E-4</v>
      </c>
      <c r="Q30" s="195">
        <v>42961</v>
      </c>
      <c r="R30" s="196">
        <v>4.1666666666666664E-2</v>
      </c>
      <c r="S30" s="195">
        <v>42961</v>
      </c>
      <c r="T30" s="196">
        <v>0.16666666666666666</v>
      </c>
      <c r="U30">
        <v>61</v>
      </c>
      <c r="X30">
        <v>10</v>
      </c>
      <c r="Z30">
        <v>0</v>
      </c>
      <c r="AB30">
        <v>10</v>
      </c>
      <c r="AD30">
        <v>14</v>
      </c>
      <c r="AG30">
        <v>0</v>
      </c>
      <c r="AN30">
        <v>0</v>
      </c>
      <c r="AP30" t="s">
        <v>241</v>
      </c>
      <c r="AS30" t="s">
        <v>64</v>
      </c>
      <c r="AT30">
        <v>300</v>
      </c>
      <c r="AU30" t="s">
        <v>137</v>
      </c>
      <c r="AV30" s="254"/>
      <c r="AW30" t="s">
        <v>48</v>
      </c>
      <c r="AX30" t="s">
        <v>244</v>
      </c>
      <c r="AY30" t="s">
        <v>245</v>
      </c>
      <c r="AZ30" t="s">
        <v>67</v>
      </c>
      <c r="BA30" t="s">
        <v>68</v>
      </c>
      <c r="BB30" t="s">
        <v>104</v>
      </c>
    </row>
    <row r="31" spans="1:54" x14ac:dyDescent="0.2">
      <c r="A31" t="s">
        <v>135</v>
      </c>
      <c r="B31" t="s">
        <v>136</v>
      </c>
      <c r="G31" s="236" t="s">
        <v>136</v>
      </c>
      <c r="I31" s="236" t="s">
        <v>246</v>
      </c>
      <c r="K31" s="195">
        <v>42961</v>
      </c>
      <c r="L31" s="196">
        <v>0.70833333333333337</v>
      </c>
      <c r="M31" s="195">
        <v>42961</v>
      </c>
      <c r="N31" s="196">
        <v>0.99930555555555556</v>
      </c>
      <c r="O31" s="195">
        <v>42961</v>
      </c>
      <c r="P31" s="196">
        <v>0.70833333333333337</v>
      </c>
      <c r="Q31" s="195">
        <v>42961</v>
      </c>
      <c r="R31" s="196">
        <v>0.75</v>
      </c>
      <c r="S31" s="195">
        <v>42961</v>
      </c>
      <c r="T31" s="196">
        <v>0.91666666666666663</v>
      </c>
      <c r="U31">
        <v>87</v>
      </c>
      <c r="W31" s="236" t="s">
        <v>103</v>
      </c>
      <c r="X31">
        <v>155</v>
      </c>
      <c r="Z31">
        <v>0</v>
      </c>
      <c r="AB31">
        <v>155</v>
      </c>
      <c r="AD31">
        <v>221</v>
      </c>
      <c r="AG31">
        <v>0</v>
      </c>
      <c r="AN31">
        <v>0</v>
      </c>
      <c r="AP31" t="s">
        <v>135</v>
      </c>
      <c r="AS31" t="s">
        <v>79</v>
      </c>
      <c r="AT31">
        <v>137</v>
      </c>
      <c r="AU31" t="s">
        <v>137</v>
      </c>
      <c r="AW31" t="s">
        <v>48</v>
      </c>
      <c r="AX31" t="s">
        <v>138</v>
      </c>
      <c r="AY31" t="s">
        <v>247</v>
      </c>
      <c r="AZ31" t="s">
        <v>129</v>
      </c>
      <c r="BA31" t="s">
        <v>130</v>
      </c>
      <c r="BB31" t="s">
        <v>130</v>
      </c>
    </row>
    <row r="32" spans="1:54" x14ac:dyDescent="0.2">
      <c r="A32" t="s">
        <v>135</v>
      </c>
      <c r="B32" t="s">
        <v>136</v>
      </c>
      <c r="G32" s="236" t="s">
        <v>136</v>
      </c>
      <c r="I32" s="236" t="s">
        <v>248</v>
      </c>
      <c r="K32" s="195">
        <v>42962</v>
      </c>
      <c r="L32" s="196">
        <v>0.875</v>
      </c>
      <c r="M32" s="195">
        <v>42963</v>
      </c>
      <c r="N32" s="196">
        <v>0.125</v>
      </c>
      <c r="O32" s="195">
        <v>42962</v>
      </c>
      <c r="P32" s="196">
        <v>0.83333333333333337</v>
      </c>
      <c r="Q32" s="195">
        <v>42962</v>
      </c>
      <c r="R32" s="196">
        <v>0.875</v>
      </c>
      <c r="S32" s="195">
        <v>42963</v>
      </c>
      <c r="T32" s="196">
        <v>4.1666666666666664E-2</v>
      </c>
      <c r="U32">
        <v>87</v>
      </c>
      <c r="X32">
        <v>0</v>
      </c>
      <c r="Z32">
        <v>200</v>
      </c>
      <c r="AB32">
        <v>200</v>
      </c>
      <c r="AD32">
        <v>286</v>
      </c>
      <c r="AG32">
        <v>0</v>
      </c>
      <c r="AN32">
        <v>0</v>
      </c>
      <c r="AP32" t="s">
        <v>135</v>
      </c>
      <c r="AS32" t="s">
        <v>70</v>
      </c>
      <c r="AT32">
        <v>110</v>
      </c>
      <c r="AU32" t="s">
        <v>137</v>
      </c>
      <c r="AW32" t="s">
        <v>48</v>
      </c>
      <c r="AX32" t="s">
        <v>138</v>
      </c>
      <c r="AY32" t="s">
        <v>249</v>
      </c>
      <c r="AZ32" t="s">
        <v>127</v>
      </c>
      <c r="BA32" t="s">
        <v>128</v>
      </c>
      <c r="BB32" t="s">
        <v>69</v>
      </c>
    </row>
    <row r="33" spans="11:20" x14ac:dyDescent="0.2">
      <c r="K33" s="195"/>
      <c r="L33" s="196"/>
      <c r="M33" s="195"/>
      <c r="N33" s="196"/>
      <c r="O33" s="195"/>
      <c r="P33" s="196"/>
      <c r="Q33" s="195"/>
      <c r="R33" s="196"/>
      <c r="S33" s="195"/>
      <c r="T33" s="196"/>
    </row>
    <row r="34" spans="11:20" x14ac:dyDescent="0.2">
      <c r="K34" s="195"/>
      <c r="L34" s="196"/>
      <c r="M34" s="195"/>
      <c r="N34" s="196"/>
      <c r="O34" s="195"/>
      <c r="P34" s="196"/>
      <c r="Q34" s="195"/>
      <c r="R34" s="196"/>
      <c r="S34" s="195"/>
      <c r="T34" s="196"/>
    </row>
    <row r="35" spans="11:20" x14ac:dyDescent="0.2">
      <c r="K35" s="195"/>
      <c r="L35" s="196"/>
      <c r="M35" s="195"/>
      <c r="N35" s="196"/>
      <c r="O35" s="195"/>
      <c r="P35" s="196"/>
      <c r="Q35" s="195"/>
      <c r="R35" s="196"/>
      <c r="S35" s="195"/>
      <c r="T35" s="196"/>
    </row>
    <row r="36" spans="11:20" x14ac:dyDescent="0.2">
      <c r="K36" s="195"/>
      <c r="L36" s="196"/>
      <c r="M36" s="195"/>
      <c r="N36" s="196"/>
      <c r="O36" s="195"/>
      <c r="P36" s="196"/>
      <c r="Q36" s="195"/>
      <c r="R36" s="196"/>
      <c r="S36" s="195"/>
      <c r="T36" s="196"/>
    </row>
    <row r="37" spans="11:20" x14ac:dyDescent="0.2">
      <c r="K37" s="195"/>
      <c r="L37" s="196"/>
      <c r="M37" s="195"/>
      <c r="N37" s="196"/>
      <c r="O37" s="195"/>
      <c r="P37" s="196"/>
      <c r="Q37" s="195"/>
      <c r="R37" s="196"/>
      <c r="S37" s="195"/>
      <c r="T37" s="196"/>
    </row>
    <row r="38" spans="11:20" x14ac:dyDescent="0.2">
      <c r="K38" s="195"/>
      <c r="L38" s="196"/>
      <c r="M38" s="195"/>
      <c r="N38" s="196"/>
      <c r="O38" s="195"/>
      <c r="P38" s="196"/>
      <c r="Q38" s="195"/>
      <c r="R38" s="196"/>
      <c r="S38" s="195"/>
      <c r="T38" s="196"/>
    </row>
    <row r="39" spans="11:20" x14ac:dyDescent="0.2">
      <c r="K39" s="195"/>
      <c r="L39" s="196"/>
      <c r="M39" s="195"/>
      <c r="N39" s="196"/>
      <c r="O39" s="195"/>
      <c r="P39" s="196"/>
      <c r="Q39" s="195"/>
      <c r="R39" s="196"/>
      <c r="S39" s="195"/>
      <c r="T39" s="196"/>
    </row>
    <row r="40" spans="11:20" x14ac:dyDescent="0.2">
      <c r="K40" s="195"/>
      <c r="L40" s="196"/>
      <c r="M40" s="195"/>
      <c r="N40" s="196"/>
      <c r="O40" s="195"/>
      <c r="P40" s="196"/>
      <c r="Q40" s="195"/>
      <c r="R40" s="196"/>
      <c r="S40" s="195"/>
      <c r="T40" s="196"/>
    </row>
    <row r="41" spans="11:20" x14ac:dyDescent="0.2">
      <c r="K41" s="195"/>
      <c r="L41" s="196"/>
      <c r="M41" s="195"/>
      <c r="N41" s="196"/>
      <c r="O41" s="195"/>
      <c r="P41" s="196"/>
      <c r="Q41" s="195"/>
      <c r="R41" s="196"/>
      <c r="S41" s="195"/>
      <c r="T41" s="196"/>
    </row>
    <row r="42" spans="11:20" x14ac:dyDescent="0.2">
      <c r="K42" s="195"/>
      <c r="L42" s="196"/>
      <c r="M42" s="195"/>
      <c r="N42" s="196"/>
      <c r="O42" s="195"/>
      <c r="P42" s="196"/>
      <c r="Q42" s="195"/>
      <c r="R42" s="196"/>
      <c r="S42" s="195"/>
      <c r="T42" s="196"/>
    </row>
    <row r="43" spans="11:20" x14ac:dyDescent="0.2">
      <c r="K43" s="195"/>
      <c r="L43" s="196"/>
      <c r="M43" s="195"/>
      <c r="N43" s="196"/>
      <c r="O43" s="195"/>
      <c r="P43" s="196"/>
      <c r="Q43" s="195"/>
      <c r="R43" s="196"/>
      <c r="S43" s="195"/>
      <c r="T43" s="196"/>
    </row>
    <row r="44" spans="11:20" x14ac:dyDescent="0.2">
      <c r="K44" s="195"/>
      <c r="L44" s="196"/>
      <c r="M44" s="195"/>
      <c r="N44" s="196"/>
      <c r="O44" s="195"/>
      <c r="P44" s="196"/>
      <c r="Q44" s="195"/>
      <c r="R44" s="196"/>
      <c r="S44" s="195"/>
      <c r="T44" s="196"/>
    </row>
    <row r="45" spans="11:20" x14ac:dyDescent="0.2">
      <c r="K45" s="195"/>
      <c r="L45" s="196"/>
      <c r="M45" s="195"/>
      <c r="N45" s="196"/>
      <c r="O45" s="195"/>
      <c r="P45" s="196"/>
      <c r="Q45" s="195"/>
      <c r="R45" s="196"/>
      <c r="S45" s="195"/>
      <c r="T45" s="196"/>
    </row>
    <row r="46" spans="11:20" x14ac:dyDescent="0.2">
      <c r="K46" s="195"/>
      <c r="L46" s="196"/>
      <c r="M46" s="195"/>
      <c r="N46" s="196"/>
      <c r="O46" s="195"/>
      <c r="P46" s="196"/>
      <c r="Q46" s="195"/>
      <c r="R46" s="196"/>
      <c r="S46" s="195"/>
      <c r="T46" s="196"/>
    </row>
    <row r="47" spans="11:20" x14ac:dyDescent="0.2">
      <c r="K47" s="195"/>
      <c r="L47" s="196"/>
      <c r="M47" s="195"/>
      <c r="N47" s="196"/>
      <c r="O47" s="195"/>
      <c r="P47" s="196"/>
      <c r="Q47" s="195"/>
      <c r="R47" s="196"/>
      <c r="S47" s="195"/>
      <c r="T47" s="196"/>
    </row>
    <row r="48" spans="11:20" x14ac:dyDescent="0.2">
      <c r="K48" s="195"/>
      <c r="L48" s="196"/>
      <c r="M48" s="195"/>
      <c r="N48" s="196"/>
      <c r="O48" s="195"/>
      <c r="P48" s="196"/>
      <c r="Q48" s="195"/>
      <c r="R48" s="196"/>
      <c r="S48" s="195"/>
      <c r="T48" s="196"/>
    </row>
    <row r="49" spans="11:20" x14ac:dyDescent="0.2">
      <c r="K49" s="195"/>
      <c r="L49" s="196"/>
      <c r="M49" s="195"/>
      <c r="N49" s="196"/>
      <c r="O49" s="195"/>
      <c r="P49" s="196"/>
      <c r="Q49" s="195"/>
      <c r="R49" s="196"/>
      <c r="S49" s="195"/>
      <c r="T49" s="196"/>
    </row>
    <row r="50" spans="11:20" x14ac:dyDescent="0.2">
      <c r="K50" s="195"/>
      <c r="L50" s="196"/>
      <c r="M50" s="195"/>
      <c r="N50" s="196"/>
      <c r="O50" s="195"/>
      <c r="P50" s="196"/>
      <c r="Q50" s="195"/>
      <c r="R50" s="196"/>
      <c r="S50" s="195"/>
      <c r="T50" s="196"/>
    </row>
    <row r="51" spans="11:20" x14ac:dyDescent="0.2">
      <c r="K51" s="195"/>
      <c r="L51" s="196"/>
      <c r="M51" s="195"/>
      <c r="N51" s="196"/>
      <c r="O51" s="195"/>
      <c r="P51" s="196"/>
      <c r="Q51" s="195"/>
      <c r="R51" s="196"/>
      <c r="S51" s="195"/>
      <c r="T51" s="196"/>
    </row>
    <row r="52" spans="11:20" x14ac:dyDescent="0.2">
      <c r="K52" s="195"/>
      <c r="L52" s="196"/>
      <c r="M52" s="195"/>
      <c r="N52" s="196"/>
      <c r="O52" s="195"/>
      <c r="P52" s="196"/>
      <c r="Q52" s="195"/>
      <c r="R52" s="196"/>
      <c r="S52" s="195"/>
      <c r="T52" s="196"/>
    </row>
    <row r="53" spans="11:20" x14ac:dyDescent="0.2">
      <c r="K53" s="195"/>
      <c r="L53" s="196"/>
      <c r="M53" s="195"/>
      <c r="N53" s="196"/>
      <c r="O53" s="195"/>
      <c r="P53" s="196"/>
      <c r="Q53" s="195"/>
      <c r="R53" s="196"/>
      <c r="S53" s="195"/>
      <c r="T53" s="196"/>
    </row>
    <row r="54" spans="11:20" x14ac:dyDescent="0.2">
      <c r="K54" s="195"/>
      <c r="L54" s="196"/>
      <c r="M54" s="195"/>
      <c r="N54" s="196"/>
      <c r="O54" s="195"/>
      <c r="P54" s="196"/>
      <c r="Q54" s="195"/>
      <c r="R54" s="196"/>
      <c r="S54" s="195"/>
      <c r="T54" s="196"/>
    </row>
    <row r="55" spans="11:20" x14ac:dyDescent="0.2">
      <c r="K55" s="195"/>
      <c r="L55" s="196"/>
      <c r="M55" s="195"/>
      <c r="N55" s="196"/>
      <c r="O55" s="195"/>
      <c r="P55" s="196"/>
      <c r="Q55" s="195"/>
      <c r="R55" s="196"/>
      <c r="S55" s="195"/>
      <c r="T55" s="196"/>
    </row>
    <row r="56" spans="11:20" x14ac:dyDescent="0.2">
      <c r="K56" s="195"/>
      <c r="L56" s="196"/>
      <c r="M56" s="195"/>
      <c r="N56" s="196"/>
      <c r="O56" s="195"/>
      <c r="P56" s="196"/>
      <c r="Q56" s="195"/>
      <c r="R56" s="196"/>
      <c r="S56" s="195"/>
      <c r="T56" s="196"/>
    </row>
    <row r="57" spans="11:20" x14ac:dyDescent="0.2">
      <c r="K57" s="195"/>
      <c r="L57" s="196"/>
      <c r="M57" s="195"/>
      <c r="N57" s="196"/>
      <c r="O57" s="195"/>
      <c r="P57" s="196"/>
      <c r="Q57" s="195"/>
      <c r="R57" s="196"/>
      <c r="S57" s="195"/>
      <c r="T57" s="196"/>
    </row>
    <row r="58" spans="11:20" x14ac:dyDescent="0.2">
      <c r="K58" s="195"/>
      <c r="L58" s="196"/>
      <c r="M58" s="195"/>
      <c r="N58" s="196"/>
      <c r="O58" s="195"/>
      <c r="P58" s="196"/>
      <c r="Q58" s="195"/>
      <c r="R58" s="196"/>
      <c r="S58" s="195"/>
      <c r="T58" s="196"/>
    </row>
    <row r="59" spans="11:20" x14ac:dyDescent="0.2">
      <c r="O59"/>
      <c r="P59"/>
      <c r="Q59"/>
      <c r="R59"/>
      <c r="S59"/>
      <c r="T59"/>
    </row>
    <row r="60" spans="11:20" x14ac:dyDescent="0.2">
      <c r="O60"/>
      <c r="P60"/>
      <c r="Q60"/>
      <c r="R60"/>
      <c r="S60"/>
      <c r="T60"/>
    </row>
    <row r="61" spans="11:20" x14ac:dyDescent="0.2">
      <c r="O61"/>
      <c r="P61"/>
      <c r="Q61"/>
      <c r="R61"/>
      <c r="S61"/>
      <c r="T61"/>
    </row>
    <row r="62" spans="11:20" x14ac:dyDescent="0.2">
      <c r="O62"/>
      <c r="P62"/>
      <c r="Q62"/>
      <c r="R62"/>
      <c r="S62"/>
      <c r="T62"/>
    </row>
    <row r="63" spans="11:20" x14ac:dyDescent="0.2">
      <c r="O63"/>
      <c r="P63"/>
      <c r="Q63"/>
      <c r="R63"/>
      <c r="S63"/>
      <c r="T63"/>
    </row>
    <row r="64" spans="11:20" x14ac:dyDescent="0.2">
      <c r="O64"/>
      <c r="P64"/>
      <c r="Q64"/>
      <c r="R64"/>
      <c r="S64"/>
      <c r="T64"/>
    </row>
    <row r="65" spans="15:20" x14ac:dyDescent="0.2">
      <c r="O65"/>
      <c r="P65"/>
      <c r="Q65"/>
      <c r="R65"/>
      <c r="S65"/>
      <c r="T65"/>
    </row>
    <row r="66" spans="15:20" x14ac:dyDescent="0.2">
      <c r="O66"/>
      <c r="P66"/>
      <c r="Q66"/>
      <c r="R66"/>
      <c r="S66"/>
      <c r="T66"/>
    </row>
    <row r="67" spans="15:20" x14ac:dyDescent="0.2">
      <c r="O67"/>
      <c r="P67"/>
      <c r="Q67"/>
      <c r="R67"/>
      <c r="S67"/>
      <c r="T67"/>
    </row>
    <row r="68" spans="15:20" x14ac:dyDescent="0.2">
      <c r="O68"/>
      <c r="P68"/>
      <c r="Q68"/>
      <c r="R68"/>
      <c r="S68"/>
      <c r="T68"/>
    </row>
    <row r="69" spans="15:20" x14ac:dyDescent="0.2">
      <c r="O69"/>
      <c r="P69"/>
      <c r="Q69"/>
      <c r="R69"/>
      <c r="S69"/>
      <c r="T69"/>
    </row>
    <row r="70" spans="15:20" x14ac:dyDescent="0.2">
      <c r="O70"/>
      <c r="P70"/>
      <c r="Q70"/>
      <c r="R70"/>
      <c r="S70"/>
      <c r="T70"/>
    </row>
    <row r="71" spans="15:20" x14ac:dyDescent="0.2">
      <c r="O71"/>
      <c r="P71"/>
      <c r="Q71"/>
      <c r="R71"/>
      <c r="S71"/>
      <c r="T71"/>
    </row>
    <row r="72" spans="15:20" x14ac:dyDescent="0.2">
      <c r="O72"/>
      <c r="P72"/>
      <c r="Q72"/>
      <c r="R72"/>
      <c r="S72"/>
      <c r="T72"/>
    </row>
    <row r="73" spans="15:20" x14ac:dyDescent="0.2">
      <c r="O73"/>
      <c r="P73"/>
      <c r="Q73"/>
      <c r="R73"/>
      <c r="S73"/>
      <c r="T73"/>
    </row>
    <row r="74" spans="15:20" x14ac:dyDescent="0.2">
      <c r="O74"/>
      <c r="P74"/>
      <c r="Q74"/>
      <c r="R74"/>
      <c r="S74"/>
      <c r="T74"/>
    </row>
    <row r="75" spans="15:20" x14ac:dyDescent="0.2">
      <c r="O75"/>
      <c r="P75"/>
      <c r="Q75"/>
      <c r="R75"/>
      <c r="S75"/>
      <c r="T75"/>
    </row>
    <row r="76" spans="15:20" x14ac:dyDescent="0.2">
      <c r="O76"/>
      <c r="P76"/>
      <c r="Q76"/>
      <c r="R76"/>
      <c r="S76"/>
      <c r="T76"/>
    </row>
    <row r="77" spans="15:20" x14ac:dyDescent="0.2">
      <c r="O77"/>
      <c r="P77"/>
      <c r="Q77"/>
      <c r="R77"/>
      <c r="S77"/>
      <c r="T77"/>
    </row>
    <row r="78" spans="15:20" x14ac:dyDescent="0.2">
      <c r="O78"/>
      <c r="P78"/>
      <c r="Q78"/>
      <c r="R78"/>
      <c r="S78"/>
      <c r="T78"/>
    </row>
    <row r="79" spans="15:20" x14ac:dyDescent="0.2">
      <c r="O79"/>
      <c r="P79"/>
      <c r="Q79"/>
      <c r="R79"/>
      <c r="S79"/>
      <c r="T79"/>
    </row>
    <row r="80" spans="15:20" x14ac:dyDescent="0.2">
      <c r="O80"/>
      <c r="P80"/>
      <c r="Q80"/>
      <c r="R80"/>
      <c r="S80"/>
      <c r="T80"/>
    </row>
    <row r="81" spans="15:20" x14ac:dyDescent="0.2">
      <c r="O81"/>
      <c r="P81"/>
      <c r="Q81"/>
      <c r="R81"/>
      <c r="S81"/>
      <c r="T81"/>
    </row>
    <row r="82" spans="15:20" x14ac:dyDescent="0.2">
      <c r="O82"/>
      <c r="P82"/>
      <c r="Q82"/>
      <c r="R82"/>
      <c r="S82"/>
      <c r="T82"/>
    </row>
    <row r="83" spans="15:20" x14ac:dyDescent="0.2">
      <c r="O83"/>
      <c r="P83"/>
      <c r="Q83"/>
      <c r="R83"/>
      <c r="S83"/>
      <c r="T83"/>
    </row>
    <row r="84" spans="15:20" x14ac:dyDescent="0.2">
      <c r="O84"/>
      <c r="P84"/>
      <c r="Q84"/>
      <c r="R84"/>
      <c r="S84"/>
      <c r="T84"/>
    </row>
    <row r="85" spans="15:20" x14ac:dyDescent="0.2">
      <c r="O85"/>
      <c r="P85"/>
      <c r="Q85"/>
      <c r="R85"/>
      <c r="S85"/>
      <c r="T85"/>
    </row>
    <row r="86" spans="15:20" x14ac:dyDescent="0.2">
      <c r="O86"/>
      <c r="P86"/>
      <c r="Q86"/>
      <c r="R86"/>
      <c r="S86"/>
      <c r="T86"/>
    </row>
    <row r="87" spans="15:20" x14ac:dyDescent="0.2">
      <c r="O87"/>
      <c r="P87"/>
      <c r="Q87"/>
      <c r="R87"/>
      <c r="S87"/>
      <c r="T87"/>
    </row>
    <row r="88" spans="15:20" x14ac:dyDescent="0.2">
      <c r="O88"/>
      <c r="P88"/>
      <c r="Q88"/>
      <c r="R88"/>
      <c r="S88"/>
      <c r="T88"/>
    </row>
    <row r="89" spans="15:20" x14ac:dyDescent="0.2">
      <c r="O89"/>
      <c r="P89"/>
      <c r="Q89"/>
      <c r="R89"/>
      <c r="S89"/>
      <c r="T89"/>
    </row>
    <row r="90" spans="15:20" x14ac:dyDescent="0.2">
      <c r="O90"/>
      <c r="P90"/>
      <c r="Q90"/>
      <c r="R90"/>
      <c r="S90"/>
      <c r="T90"/>
    </row>
    <row r="91" spans="15:20" x14ac:dyDescent="0.2">
      <c r="O91"/>
      <c r="P91"/>
      <c r="Q91"/>
      <c r="R91"/>
      <c r="S91"/>
      <c r="T91"/>
    </row>
    <row r="92" spans="15:20" x14ac:dyDescent="0.2">
      <c r="O92"/>
      <c r="P92"/>
      <c r="Q92"/>
      <c r="R92"/>
      <c r="S92"/>
      <c r="T92"/>
    </row>
    <row r="93" spans="15:20" x14ac:dyDescent="0.2">
      <c r="O93"/>
      <c r="P93"/>
      <c r="Q93"/>
      <c r="R93"/>
      <c r="S93"/>
      <c r="T93"/>
    </row>
    <row r="94" spans="15:20" x14ac:dyDescent="0.2">
      <c r="O94"/>
      <c r="P94"/>
      <c r="Q94"/>
      <c r="R94"/>
      <c r="S94"/>
      <c r="T94"/>
    </row>
    <row r="95" spans="15:20" x14ac:dyDescent="0.2">
      <c r="O95"/>
      <c r="P95"/>
      <c r="Q95"/>
      <c r="R95"/>
      <c r="S95"/>
      <c r="T95"/>
    </row>
    <row r="96" spans="15:20" x14ac:dyDescent="0.2">
      <c r="O96"/>
      <c r="P96"/>
      <c r="Q96"/>
      <c r="R96"/>
      <c r="S96"/>
      <c r="T96"/>
    </row>
    <row r="97" spans="15:20" x14ac:dyDescent="0.2">
      <c r="O97"/>
      <c r="P97"/>
      <c r="Q97"/>
      <c r="R97"/>
      <c r="S97"/>
      <c r="T97"/>
    </row>
    <row r="98" spans="15:20" x14ac:dyDescent="0.2">
      <c r="O98"/>
      <c r="P98"/>
      <c r="Q98"/>
      <c r="R98"/>
      <c r="S98"/>
      <c r="T98"/>
    </row>
    <row r="99" spans="15:20" x14ac:dyDescent="0.2">
      <c r="O99"/>
      <c r="P99"/>
      <c r="Q99"/>
      <c r="R99"/>
      <c r="S99"/>
      <c r="T99"/>
    </row>
    <row r="100" spans="15:20" x14ac:dyDescent="0.2">
      <c r="O100"/>
      <c r="P100"/>
      <c r="Q100"/>
      <c r="R100"/>
      <c r="S100"/>
      <c r="T100"/>
    </row>
    <row r="101" spans="15:20" x14ac:dyDescent="0.2">
      <c r="O101"/>
      <c r="P101"/>
      <c r="Q101"/>
      <c r="R101"/>
      <c r="S101"/>
      <c r="T101"/>
    </row>
    <row r="102" spans="15:20" x14ac:dyDescent="0.2">
      <c r="O102"/>
      <c r="P102"/>
      <c r="Q102"/>
      <c r="R102"/>
      <c r="S102"/>
      <c r="T102"/>
    </row>
    <row r="103" spans="15:20" x14ac:dyDescent="0.2">
      <c r="O103"/>
      <c r="P103"/>
      <c r="Q103"/>
      <c r="R103"/>
      <c r="S103"/>
      <c r="T103"/>
    </row>
    <row r="104" spans="15:20" x14ac:dyDescent="0.2">
      <c r="O104"/>
      <c r="P104"/>
      <c r="Q104"/>
      <c r="R104"/>
      <c r="S104"/>
      <c r="T104"/>
    </row>
    <row r="105" spans="15:20" x14ac:dyDescent="0.2">
      <c r="O105"/>
      <c r="P105"/>
      <c r="Q105"/>
      <c r="R105"/>
      <c r="S105"/>
      <c r="T105"/>
    </row>
    <row r="106" spans="15:20" x14ac:dyDescent="0.2">
      <c r="O106"/>
      <c r="P106"/>
      <c r="Q106"/>
      <c r="R106"/>
      <c r="S106"/>
      <c r="T106"/>
    </row>
    <row r="107" spans="15:20" x14ac:dyDescent="0.2">
      <c r="O107"/>
      <c r="P107"/>
      <c r="Q107"/>
      <c r="R107"/>
      <c r="S107"/>
      <c r="T107"/>
    </row>
    <row r="108" spans="15:20" x14ac:dyDescent="0.2">
      <c r="O108"/>
      <c r="P108"/>
      <c r="Q108"/>
      <c r="R108"/>
      <c r="S108"/>
      <c r="T108"/>
    </row>
    <row r="109" spans="15:20" x14ac:dyDescent="0.2">
      <c r="O109"/>
      <c r="P109"/>
      <c r="Q109"/>
      <c r="R109"/>
      <c r="S109"/>
      <c r="T109"/>
    </row>
    <row r="110" spans="15:20" x14ac:dyDescent="0.2">
      <c r="O110"/>
      <c r="P110"/>
      <c r="Q110"/>
      <c r="R110"/>
      <c r="S110"/>
      <c r="T110"/>
    </row>
    <row r="111" spans="15:20" x14ac:dyDescent="0.2">
      <c r="O111"/>
      <c r="P111"/>
      <c r="Q111"/>
      <c r="R111"/>
      <c r="S111"/>
      <c r="T111"/>
    </row>
    <row r="112" spans="15:20" x14ac:dyDescent="0.2">
      <c r="O112"/>
      <c r="P112"/>
      <c r="Q112"/>
      <c r="R112"/>
      <c r="S112"/>
      <c r="T112"/>
    </row>
    <row r="113" spans="15:20" x14ac:dyDescent="0.2">
      <c r="O113"/>
      <c r="P113"/>
      <c r="Q113"/>
      <c r="R113"/>
      <c r="S113"/>
      <c r="T113"/>
    </row>
    <row r="114" spans="15:20" x14ac:dyDescent="0.2">
      <c r="O114"/>
      <c r="P114"/>
      <c r="Q114"/>
      <c r="R114"/>
      <c r="S114"/>
      <c r="T114"/>
    </row>
    <row r="115" spans="15:20" x14ac:dyDescent="0.2">
      <c r="O115"/>
      <c r="P115"/>
      <c r="Q115"/>
      <c r="R115"/>
      <c r="S115"/>
      <c r="T115"/>
    </row>
    <row r="116" spans="15:20" x14ac:dyDescent="0.2">
      <c r="O116"/>
      <c r="P116"/>
      <c r="Q116"/>
      <c r="R116"/>
      <c r="S116"/>
      <c r="T116"/>
    </row>
    <row r="117" spans="15:20" x14ac:dyDescent="0.2">
      <c r="O117"/>
      <c r="P117"/>
      <c r="Q117"/>
      <c r="R117"/>
      <c r="S117"/>
      <c r="T117"/>
    </row>
    <row r="118" spans="15:20" x14ac:dyDescent="0.2">
      <c r="O118"/>
      <c r="P118"/>
      <c r="Q118"/>
      <c r="R118"/>
      <c r="S118"/>
      <c r="T118"/>
    </row>
    <row r="119" spans="15:20" x14ac:dyDescent="0.2">
      <c r="O119"/>
      <c r="P119"/>
      <c r="Q119"/>
      <c r="R119"/>
      <c r="S119"/>
      <c r="T119"/>
    </row>
    <row r="120" spans="15:20" x14ac:dyDescent="0.2">
      <c r="O120"/>
      <c r="P120"/>
      <c r="Q120"/>
      <c r="R120"/>
      <c r="S120"/>
      <c r="T120"/>
    </row>
    <row r="121" spans="15:20" x14ac:dyDescent="0.2">
      <c r="O121"/>
      <c r="P121"/>
      <c r="Q121"/>
      <c r="R121"/>
      <c r="S121"/>
      <c r="T121"/>
    </row>
    <row r="122" spans="15:20" x14ac:dyDescent="0.2">
      <c r="O122"/>
      <c r="P122"/>
      <c r="Q122"/>
      <c r="R122"/>
      <c r="S122"/>
      <c r="T122"/>
    </row>
    <row r="123" spans="15:20" x14ac:dyDescent="0.2">
      <c r="O123"/>
      <c r="P123"/>
      <c r="Q123"/>
      <c r="R123"/>
      <c r="S123"/>
      <c r="T123"/>
    </row>
    <row r="124" spans="15:20" x14ac:dyDescent="0.2">
      <c r="O124"/>
      <c r="P124"/>
      <c r="Q124"/>
      <c r="R124"/>
      <c r="S124"/>
      <c r="T124"/>
    </row>
    <row r="125" spans="15:20" x14ac:dyDescent="0.2">
      <c r="O125"/>
      <c r="P125"/>
      <c r="Q125"/>
      <c r="R125"/>
      <c r="S125"/>
      <c r="T125"/>
    </row>
    <row r="126" spans="15:20" x14ac:dyDescent="0.2">
      <c r="O126"/>
      <c r="P126"/>
      <c r="Q126"/>
      <c r="R126"/>
      <c r="S126"/>
      <c r="T126"/>
    </row>
    <row r="127" spans="15:20" x14ac:dyDescent="0.2">
      <c r="O127"/>
      <c r="P127"/>
      <c r="Q127"/>
      <c r="R127"/>
      <c r="S127"/>
      <c r="T127"/>
    </row>
    <row r="128" spans="15:20" x14ac:dyDescent="0.2">
      <c r="O128"/>
      <c r="P128"/>
      <c r="Q128"/>
      <c r="R128"/>
      <c r="S128"/>
      <c r="T128"/>
    </row>
    <row r="129" spans="15:20" x14ac:dyDescent="0.2">
      <c r="O129"/>
      <c r="P129"/>
      <c r="Q129"/>
      <c r="R129"/>
      <c r="S129"/>
      <c r="T129"/>
    </row>
    <row r="130" spans="15:20" x14ac:dyDescent="0.2">
      <c r="O130"/>
      <c r="P130"/>
      <c r="Q130"/>
      <c r="R130"/>
      <c r="S130"/>
      <c r="T130"/>
    </row>
    <row r="131" spans="15:20" x14ac:dyDescent="0.2">
      <c r="O131"/>
      <c r="P131"/>
      <c r="Q131"/>
      <c r="R131"/>
      <c r="S131"/>
      <c r="T131"/>
    </row>
    <row r="132" spans="15:20" x14ac:dyDescent="0.2">
      <c r="O132"/>
      <c r="P132"/>
      <c r="Q132"/>
      <c r="R132"/>
      <c r="S132"/>
      <c r="T132"/>
    </row>
    <row r="133" spans="15:20" x14ac:dyDescent="0.2">
      <c r="O133"/>
      <c r="P133"/>
      <c r="Q133"/>
      <c r="R133"/>
      <c r="S133"/>
      <c r="T133"/>
    </row>
    <row r="134" spans="15:20" x14ac:dyDescent="0.2">
      <c r="O134"/>
      <c r="P134"/>
      <c r="Q134"/>
      <c r="R134"/>
      <c r="S134"/>
      <c r="T134"/>
    </row>
    <row r="135" spans="15:20" x14ac:dyDescent="0.2">
      <c r="O135"/>
      <c r="P135"/>
      <c r="Q135"/>
      <c r="R135"/>
      <c r="S135"/>
      <c r="T135"/>
    </row>
    <row r="136" spans="15:20" x14ac:dyDescent="0.2">
      <c r="O136"/>
      <c r="P136"/>
      <c r="Q136"/>
      <c r="R136"/>
      <c r="S136"/>
      <c r="T136"/>
    </row>
    <row r="137" spans="15:20" x14ac:dyDescent="0.2">
      <c r="O137"/>
      <c r="P137"/>
      <c r="Q137"/>
      <c r="R137"/>
      <c r="S137"/>
      <c r="T137"/>
    </row>
    <row r="138" spans="15:20" x14ac:dyDescent="0.2">
      <c r="O138"/>
      <c r="P138"/>
      <c r="Q138"/>
      <c r="R138"/>
      <c r="S138"/>
      <c r="T138"/>
    </row>
    <row r="139" spans="15:20" x14ac:dyDescent="0.2">
      <c r="O139"/>
      <c r="P139"/>
      <c r="Q139"/>
      <c r="R139"/>
      <c r="S139"/>
      <c r="T139"/>
    </row>
    <row r="140" spans="15:20" x14ac:dyDescent="0.2">
      <c r="O140"/>
      <c r="P140"/>
      <c r="Q140"/>
      <c r="R140"/>
      <c r="S140"/>
      <c r="T140"/>
    </row>
    <row r="141" spans="15:20" x14ac:dyDescent="0.2">
      <c r="O141"/>
      <c r="P141"/>
      <c r="Q141"/>
      <c r="R141"/>
      <c r="S141"/>
      <c r="T141"/>
    </row>
    <row r="142" spans="15:20" x14ac:dyDescent="0.2">
      <c r="O142"/>
      <c r="P142"/>
      <c r="Q142"/>
      <c r="R142"/>
      <c r="S142"/>
      <c r="T142"/>
    </row>
    <row r="143" spans="15:20" x14ac:dyDescent="0.2">
      <c r="O143"/>
      <c r="P143"/>
      <c r="Q143"/>
      <c r="R143"/>
      <c r="S143"/>
      <c r="T143"/>
    </row>
    <row r="144" spans="15:20" x14ac:dyDescent="0.2">
      <c r="O144"/>
      <c r="P144"/>
      <c r="Q144"/>
      <c r="R144"/>
      <c r="S144"/>
      <c r="T144"/>
    </row>
    <row r="145" spans="15:20" x14ac:dyDescent="0.2">
      <c r="O145"/>
      <c r="P145"/>
      <c r="Q145"/>
      <c r="R145"/>
      <c r="S145"/>
      <c r="T145"/>
    </row>
    <row r="146" spans="15:20" x14ac:dyDescent="0.2">
      <c r="O146"/>
      <c r="P146"/>
      <c r="Q146"/>
      <c r="R146"/>
      <c r="S146"/>
      <c r="T146"/>
    </row>
    <row r="147" spans="15:20" x14ac:dyDescent="0.2">
      <c r="O147"/>
      <c r="P147"/>
      <c r="Q147"/>
      <c r="R147"/>
      <c r="S147"/>
      <c r="T147"/>
    </row>
    <row r="148" spans="15:20" x14ac:dyDescent="0.2">
      <c r="O148"/>
      <c r="P148"/>
      <c r="Q148"/>
      <c r="R148"/>
      <c r="S148"/>
      <c r="T148"/>
    </row>
    <row r="149" spans="15:20" x14ac:dyDescent="0.2">
      <c r="O149"/>
      <c r="P149"/>
      <c r="Q149"/>
      <c r="R149"/>
      <c r="S149"/>
      <c r="T149"/>
    </row>
    <row r="150" spans="15:20" x14ac:dyDescent="0.2">
      <c r="O150"/>
      <c r="P150"/>
      <c r="Q150"/>
      <c r="R150"/>
      <c r="S150"/>
      <c r="T150"/>
    </row>
    <row r="151" spans="15:20" x14ac:dyDescent="0.2">
      <c r="O151"/>
      <c r="P151"/>
      <c r="Q151"/>
      <c r="R151"/>
      <c r="S151"/>
      <c r="T151"/>
    </row>
    <row r="152" spans="15:20" x14ac:dyDescent="0.2">
      <c r="O152"/>
      <c r="P152"/>
      <c r="Q152"/>
      <c r="R152"/>
      <c r="S152"/>
      <c r="T152"/>
    </row>
    <row r="153" spans="15:20" x14ac:dyDescent="0.2">
      <c r="O153"/>
      <c r="P153"/>
      <c r="Q153"/>
      <c r="R153"/>
      <c r="S153"/>
      <c r="T153"/>
    </row>
    <row r="154" spans="15:20" x14ac:dyDescent="0.2">
      <c r="O154"/>
      <c r="P154"/>
      <c r="Q154"/>
      <c r="R154"/>
      <c r="S154"/>
      <c r="T154"/>
    </row>
    <row r="155" spans="15:20" x14ac:dyDescent="0.2">
      <c r="O155"/>
      <c r="P155"/>
      <c r="Q155"/>
      <c r="R155"/>
      <c r="S155"/>
      <c r="T155"/>
    </row>
    <row r="156" spans="15:20" x14ac:dyDescent="0.2">
      <c r="O156"/>
      <c r="P156"/>
      <c r="Q156"/>
      <c r="R156"/>
      <c r="S156"/>
      <c r="T156"/>
    </row>
    <row r="157" spans="15:20" x14ac:dyDescent="0.2">
      <c r="O157"/>
      <c r="P157"/>
      <c r="Q157"/>
      <c r="R157"/>
      <c r="S157"/>
      <c r="T157"/>
    </row>
    <row r="158" spans="15:20" x14ac:dyDescent="0.2">
      <c r="O158"/>
      <c r="P158"/>
      <c r="Q158"/>
      <c r="R158"/>
      <c r="S158"/>
      <c r="T158"/>
    </row>
    <row r="159" spans="15:20" x14ac:dyDescent="0.2">
      <c r="O159"/>
      <c r="P159"/>
      <c r="Q159"/>
      <c r="R159"/>
      <c r="S159"/>
      <c r="T159"/>
    </row>
    <row r="160" spans="15:20" x14ac:dyDescent="0.2">
      <c r="O160"/>
      <c r="P160"/>
      <c r="Q160"/>
      <c r="R160"/>
      <c r="S160"/>
      <c r="T160"/>
    </row>
    <row r="161" spans="15:20" x14ac:dyDescent="0.2">
      <c r="O161"/>
      <c r="P161"/>
      <c r="Q161"/>
      <c r="R161"/>
      <c r="S161"/>
      <c r="T161"/>
    </row>
    <row r="162" spans="15:20" x14ac:dyDescent="0.2">
      <c r="O162"/>
      <c r="P162"/>
      <c r="Q162"/>
      <c r="R162"/>
      <c r="S162"/>
      <c r="T162"/>
    </row>
    <row r="163" spans="15:20" x14ac:dyDescent="0.2">
      <c r="O163"/>
      <c r="P163"/>
      <c r="Q163"/>
      <c r="R163"/>
      <c r="S163"/>
      <c r="T163"/>
    </row>
    <row r="164" spans="15:20" x14ac:dyDescent="0.2">
      <c r="O164"/>
      <c r="P164"/>
      <c r="Q164"/>
      <c r="R164"/>
      <c r="S164"/>
      <c r="T164"/>
    </row>
    <row r="165" spans="15:20" x14ac:dyDescent="0.2">
      <c r="O165"/>
      <c r="P165"/>
      <c r="Q165"/>
      <c r="R165"/>
      <c r="S165"/>
      <c r="T165"/>
    </row>
    <row r="166" spans="15:20" x14ac:dyDescent="0.2">
      <c r="O166"/>
      <c r="P166"/>
      <c r="Q166"/>
      <c r="R166"/>
      <c r="S166"/>
      <c r="T166"/>
    </row>
    <row r="167" spans="15:20" x14ac:dyDescent="0.2">
      <c r="O167"/>
      <c r="P167"/>
      <c r="Q167"/>
      <c r="R167"/>
      <c r="S167"/>
      <c r="T167"/>
    </row>
    <row r="168" spans="15:20" x14ac:dyDescent="0.2">
      <c r="O168"/>
      <c r="P168"/>
      <c r="Q168"/>
      <c r="R168"/>
      <c r="S168"/>
      <c r="T168"/>
    </row>
    <row r="169" spans="15:20" x14ac:dyDescent="0.2">
      <c r="O169"/>
      <c r="P169"/>
      <c r="Q169"/>
      <c r="R169"/>
      <c r="S169"/>
      <c r="T169"/>
    </row>
    <row r="170" spans="15:20" x14ac:dyDescent="0.2">
      <c r="O170"/>
      <c r="P170"/>
      <c r="Q170"/>
      <c r="R170"/>
      <c r="S170"/>
      <c r="T170"/>
    </row>
    <row r="171" spans="15:20" x14ac:dyDescent="0.2">
      <c r="O171"/>
      <c r="P171"/>
      <c r="Q171"/>
      <c r="R171"/>
      <c r="S171"/>
      <c r="T171"/>
    </row>
    <row r="172" spans="15:20" x14ac:dyDescent="0.2">
      <c r="O172"/>
      <c r="P172"/>
      <c r="Q172"/>
      <c r="R172"/>
      <c r="S172"/>
      <c r="T172"/>
    </row>
    <row r="173" spans="15:20" x14ac:dyDescent="0.2">
      <c r="O173"/>
      <c r="P173"/>
      <c r="Q173"/>
      <c r="R173"/>
      <c r="S173"/>
      <c r="T173"/>
    </row>
    <row r="174" spans="15:20" x14ac:dyDescent="0.2">
      <c r="O174"/>
      <c r="P174"/>
      <c r="Q174"/>
      <c r="R174"/>
      <c r="S174"/>
      <c r="T174"/>
    </row>
    <row r="175" spans="15:20" x14ac:dyDescent="0.2">
      <c r="O175"/>
      <c r="P175"/>
      <c r="Q175"/>
      <c r="R175"/>
      <c r="S175"/>
      <c r="T175"/>
    </row>
    <row r="176" spans="15:20" x14ac:dyDescent="0.2">
      <c r="O176"/>
      <c r="P176"/>
      <c r="Q176"/>
      <c r="R176"/>
      <c r="S176"/>
      <c r="T176"/>
    </row>
    <row r="177" spans="15:20" x14ac:dyDescent="0.2">
      <c r="O177"/>
      <c r="P177"/>
      <c r="Q177"/>
      <c r="R177"/>
      <c r="S177"/>
      <c r="T177"/>
    </row>
    <row r="178" spans="15:20" x14ac:dyDescent="0.2">
      <c r="O178"/>
      <c r="P178"/>
      <c r="Q178"/>
      <c r="R178"/>
      <c r="S178"/>
      <c r="T178"/>
    </row>
    <row r="179" spans="15:20" x14ac:dyDescent="0.2">
      <c r="O179"/>
      <c r="P179"/>
      <c r="Q179"/>
      <c r="R179"/>
      <c r="S179"/>
      <c r="T179"/>
    </row>
    <row r="180" spans="15:20" x14ac:dyDescent="0.2">
      <c r="O180"/>
      <c r="P180"/>
      <c r="Q180"/>
      <c r="R180"/>
      <c r="S180"/>
      <c r="T180"/>
    </row>
    <row r="181" spans="15:20" x14ac:dyDescent="0.2">
      <c r="O181"/>
      <c r="P181"/>
      <c r="Q181"/>
      <c r="R181"/>
      <c r="S181"/>
      <c r="T181"/>
    </row>
    <row r="182" spans="15:20" x14ac:dyDescent="0.2">
      <c r="O182"/>
      <c r="P182"/>
      <c r="Q182"/>
      <c r="R182"/>
      <c r="S182"/>
      <c r="T182"/>
    </row>
    <row r="183" spans="15:20" x14ac:dyDescent="0.2">
      <c r="O183"/>
      <c r="P183"/>
      <c r="Q183"/>
      <c r="R183"/>
      <c r="S183"/>
      <c r="T183"/>
    </row>
    <row r="184" spans="15:20" x14ac:dyDescent="0.2">
      <c r="O184"/>
      <c r="P184"/>
      <c r="Q184"/>
      <c r="R184"/>
      <c r="S184"/>
      <c r="T184"/>
    </row>
    <row r="185" spans="15:20" x14ac:dyDescent="0.2">
      <c r="O185"/>
      <c r="P185"/>
      <c r="Q185"/>
      <c r="R185"/>
      <c r="S185"/>
      <c r="T185"/>
    </row>
    <row r="186" spans="15:20" x14ac:dyDescent="0.2">
      <c r="O186"/>
      <c r="P186"/>
      <c r="Q186"/>
      <c r="R186"/>
      <c r="S186"/>
      <c r="T186"/>
    </row>
    <row r="187" spans="15:20" x14ac:dyDescent="0.2">
      <c r="O187"/>
      <c r="P187"/>
      <c r="Q187"/>
      <c r="R187"/>
      <c r="S187"/>
      <c r="T187"/>
    </row>
    <row r="188" spans="15:20" x14ac:dyDescent="0.2">
      <c r="O188"/>
      <c r="P188"/>
      <c r="Q188"/>
      <c r="R188"/>
      <c r="S188"/>
      <c r="T188"/>
    </row>
    <row r="189" spans="15:20" x14ac:dyDescent="0.2">
      <c r="O189"/>
      <c r="P189"/>
      <c r="Q189"/>
      <c r="R189"/>
      <c r="S189"/>
      <c r="T189"/>
    </row>
    <row r="190" spans="15:20" x14ac:dyDescent="0.2">
      <c r="O190"/>
      <c r="P190"/>
      <c r="Q190"/>
      <c r="R190"/>
      <c r="S190"/>
      <c r="T190"/>
    </row>
    <row r="191" spans="15:20" x14ac:dyDescent="0.2">
      <c r="O191"/>
      <c r="P191"/>
      <c r="Q191"/>
      <c r="R191"/>
      <c r="S191"/>
      <c r="T191"/>
    </row>
    <row r="192" spans="15:20" x14ac:dyDescent="0.2">
      <c r="O192"/>
      <c r="P192"/>
      <c r="Q192"/>
      <c r="R192"/>
      <c r="S192"/>
      <c r="T192"/>
    </row>
    <row r="193" spans="15:20" x14ac:dyDescent="0.2">
      <c r="O193"/>
      <c r="P193"/>
      <c r="Q193"/>
      <c r="R193"/>
      <c r="S193"/>
      <c r="T193"/>
    </row>
    <row r="194" spans="15:20" x14ac:dyDescent="0.2">
      <c r="O194"/>
      <c r="P194"/>
      <c r="Q194"/>
      <c r="R194"/>
      <c r="S194"/>
      <c r="T194"/>
    </row>
    <row r="195" spans="15:20" x14ac:dyDescent="0.2">
      <c r="O195"/>
      <c r="P195"/>
      <c r="Q195"/>
      <c r="R195"/>
      <c r="S195"/>
      <c r="T195"/>
    </row>
    <row r="196" spans="15:20" x14ac:dyDescent="0.2">
      <c r="O196"/>
      <c r="P196"/>
      <c r="Q196"/>
      <c r="R196"/>
      <c r="S196"/>
      <c r="T196"/>
    </row>
    <row r="197" spans="15:20" x14ac:dyDescent="0.2">
      <c r="O197"/>
      <c r="P197"/>
      <c r="Q197"/>
      <c r="R197"/>
      <c r="S197"/>
      <c r="T197"/>
    </row>
    <row r="198" spans="15:20" x14ac:dyDescent="0.2">
      <c r="O198"/>
      <c r="P198"/>
      <c r="Q198"/>
      <c r="R198"/>
      <c r="S198"/>
      <c r="T198"/>
    </row>
    <row r="199" spans="15:20" x14ac:dyDescent="0.2">
      <c r="O199"/>
      <c r="P199"/>
      <c r="Q199"/>
      <c r="R199"/>
      <c r="S199"/>
      <c r="T199"/>
    </row>
    <row r="200" spans="15:20" x14ac:dyDescent="0.2">
      <c r="O200"/>
      <c r="P200"/>
      <c r="Q200"/>
      <c r="R200"/>
      <c r="S200"/>
      <c r="T200"/>
    </row>
    <row r="201" spans="15:20" x14ac:dyDescent="0.2">
      <c r="O201"/>
      <c r="P201"/>
      <c r="Q201"/>
      <c r="R201"/>
      <c r="S201"/>
      <c r="T201"/>
    </row>
    <row r="202" spans="15:20" x14ac:dyDescent="0.2">
      <c r="O202"/>
      <c r="P202"/>
      <c r="Q202"/>
      <c r="R202"/>
      <c r="S202"/>
      <c r="T202"/>
    </row>
    <row r="203" spans="15:20" x14ac:dyDescent="0.2">
      <c r="O203"/>
      <c r="P203"/>
      <c r="Q203"/>
      <c r="R203"/>
      <c r="S203"/>
      <c r="T203"/>
    </row>
    <row r="204" spans="15:20" x14ac:dyDescent="0.2">
      <c r="O204"/>
      <c r="P204"/>
      <c r="Q204"/>
      <c r="R204"/>
      <c r="S204"/>
      <c r="T204"/>
    </row>
    <row r="205" spans="15:20" x14ac:dyDescent="0.2">
      <c r="O205"/>
      <c r="P205"/>
      <c r="Q205"/>
      <c r="R205"/>
      <c r="S205"/>
      <c r="T205"/>
    </row>
    <row r="206" spans="15:20" x14ac:dyDescent="0.2">
      <c r="O206"/>
      <c r="P206"/>
      <c r="Q206"/>
      <c r="R206"/>
      <c r="S206"/>
      <c r="T206"/>
    </row>
    <row r="207" spans="15:20" x14ac:dyDescent="0.2">
      <c r="O207"/>
      <c r="P207"/>
      <c r="Q207"/>
      <c r="R207"/>
      <c r="S207"/>
      <c r="T207"/>
    </row>
    <row r="208" spans="15:20" x14ac:dyDescent="0.2">
      <c r="O208"/>
      <c r="P208"/>
      <c r="Q208"/>
      <c r="R208"/>
      <c r="S208"/>
      <c r="T208"/>
    </row>
    <row r="209" spans="15:20" x14ac:dyDescent="0.2">
      <c r="O209"/>
      <c r="P209"/>
      <c r="Q209"/>
      <c r="R209"/>
      <c r="S209"/>
      <c r="T209"/>
    </row>
    <row r="210" spans="15:20" x14ac:dyDescent="0.2">
      <c r="O210"/>
      <c r="P210"/>
      <c r="Q210"/>
      <c r="R210"/>
      <c r="S210"/>
      <c r="T210"/>
    </row>
    <row r="211" spans="15:20" x14ac:dyDescent="0.2">
      <c r="O211"/>
      <c r="P211"/>
      <c r="Q211"/>
      <c r="R211"/>
      <c r="S211"/>
      <c r="T211"/>
    </row>
    <row r="212" spans="15:20" x14ac:dyDescent="0.2">
      <c r="O212"/>
      <c r="P212"/>
      <c r="Q212"/>
      <c r="R212"/>
      <c r="S212"/>
      <c r="T212"/>
    </row>
    <row r="213" spans="15:20" x14ac:dyDescent="0.2">
      <c r="O213"/>
      <c r="P213"/>
      <c r="Q213"/>
      <c r="R213"/>
      <c r="S213"/>
      <c r="T213"/>
    </row>
    <row r="214" spans="15:20" x14ac:dyDescent="0.2">
      <c r="O214"/>
      <c r="P214"/>
      <c r="Q214"/>
      <c r="R214"/>
      <c r="S214"/>
      <c r="T214"/>
    </row>
    <row r="215" spans="15:20" x14ac:dyDescent="0.2">
      <c r="O215"/>
      <c r="P215"/>
      <c r="Q215"/>
      <c r="R215"/>
      <c r="S215"/>
      <c r="T215"/>
    </row>
    <row r="216" spans="15:20" x14ac:dyDescent="0.2">
      <c r="O216"/>
      <c r="P216"/>
      <c r="Q216"/>
      <c r="R216"/>
      <c r="S216"/>
      <c r="T216"/>
    </row>
    <row r="217" spans="15:20" x14ac:dyDescent="0.2">
      <c r="O217"/>
      <c r="P217"/>
      <c r="Q217"/>
      <c r="R217"/>
      <c r="S217"/>
      <c r="T217"/>
    </row>
    <row r="218" spans="15:20" x14ac:dyDescent="0.2">
      <c r="O218"/>
      <c r="P218"/>
      <c r="Q218"/>
      <c r="R218"/>
      <c r="S218"/>
      <c r="T218"/>
    </row>
    <row r="219" spans="15:20" x14ac:dyDescent="0.2">
      <c r="O219"/>
      <c r="P219"/>
      <c r="Q219"/>
      <c r="R219"/>
      <c r="S219"/>
      <c r="T219"/>
    </row>
    <row r="220" spans="15:20" x14ac:dyDescent="0.2">
      <c r="O220"/>
      <c r="P220"/>
      <c r="Q220"/>
      <c r="R220"/>
      <c r="S220"/>
      <c r="T220"/>
    </row>
    <row r="221" spans="15:20" x14ac:dyDescent="0.2">
      <c r="O221"/>
      <c r="P221"/>
      <c r="Q221"/>
      <c r="R221"/>
      <c r="S221"/>
      <c r="T221"/>
    </row>
    <row r="222" spans="15:20" x14ac:dyDescent="0.2">
      <c r="O222"/>
      <c r="P222"/>
      <c r="Q222"/>
      <c r="R222"/>
      <c r="S222"/>
      <c r="T222"/>
    </row>
    <row r="223" spans="15:20" x14ac:dyDescent="0.2">
      <c r="O223"/>
      <c r="P223"/>
      <c r="Q223"/>
      <c r="R223"/>
      <c r="S223"/>
      <c r="T223"/>
    </row>
    <row r="224" spans="15:20" x14ac:dyDescent="0.2">
      <c r="O224"/>
      <c r="P224"/>
      <c r="Q224"/>
      <c r="R224"/>
      <c r="S224"/>
      <c r="T224"/>
    </row>
    <row r="225" spans="15:20" x14ac:dyDescent="0.2">
      <c r="O225"/>
      <c r="P225"/>
      <c r="Q225"/>
      <c r="R225"/>
      <c r="S225"/>
      <c r="T225"/>
    </row>
    <row r="226" spans="15:20" x14ac:dyDescent="0.2">
      <c r="O226"/>
      <c r="P226"/>
      <c r="Q226"/>
      <c r="R226"/>
      <c r="S226"/>
      <c r="T226"/>
    </row>
    <row r="227" spans="15:20" x14ac:dyDescent="0.2">
      <c r="O227"/>
      <c r="P227"/>
      <c r="Q227"/>
      <c r="R227"/>
      <c r="S227"/>
      <c r="T227"/>
    </row>
    <row r="228" spans="15:20" x14ac:dyDescent="0.2">
      <c r="O228"/>
      <c r="P228"/>
      <c r="Q228"/>
      <c r="R228"/>
      <c r="S228"/>
      <c r="T228"/>
    </row>
    <row r="229" spans="15:20" x14ac:dyDescent="0.2">
      <c r="O229"/>
      <c r="P229"/>
      <c r="Q229"/>
      <c r="R229"/>
      <c r="S229"/>
      <c r="T229"/>
    </row>
    <row r="230" spans="15:20" x14ac:dyDescent="0.2">
      <c r="O230"/>
      <c r="P230"/>
      <c r="Q230"/>
      <c r="R230"/>
      <c r="S230"/>
      <c r="T230"/>
    </row>
    <row r="231" spans="15:20" x14ac:dyDescent="0.2">
      <c r="O231"/>
      <c r="P231"/>
      <c r="Q231"/>
      <c r="R231"/>
      <c r="S231"/>
      <c r="T231"/>
    </row>
    <row r="232" spans="15:20" x14ac:dyDescent="0.2">
      <c r="O232"/>
      <c r="P232"/>
      <c r="Q232"/>
      <c r="R232"/>
      <c r="S232"/>
      <c r="T232"/>
    </row>
    <row r="233" spans="15:20" x14ac:dyDescent="0.2">
      <c r="O233"/>
      <c r="P233"/>
      <c r="Q233"/>
      <c r="R233"/>
      <c r="S233"/>
      <c r="T233"/>
    </row>
    <row r="234" spans="15:20" x14ac:dyDescent="0.2">
      <c r="O234"/>
      <c r="P234"/>
      <c r="Q234"/>
      <c r="R234"/>
      <c r="S234"/>
      <c r="T234"/>
    </row>
    <row r="235" spans="15:20" x14ac:dyDescent="0.2">
      <c r="O235"/>
      <c r="P235"/>
      <c r="Q235"/>
      <c r="R235"/>
      <c r="S235"/>
      <c r="T235"/>
    </row>
    <row r="236" spans="15:20" x14ac:dyDescent="0.2">
      <c r="O236"/>
      <c r="P236"/>
      <c r="Q236"/>
      <c r="R236"/>
      <c r="S236"/>
      <c r="T236"/>
    </row>
    <row r="237" spans="15:20" x14ac:dyDescent="0.2">
      <c r="O237"/>
      <c r="P237"/>
      <c r="Q237"/>
      <c r="R237"/>
      <c r="S237"/>
      <c r="T237"/>
    </row>
    <row r="238" spans="15:20" x14ac:dyDescent="0.2">
      <c r="O238"/>
      <c r="P238"/>
      <c r="Q238"/>
      <c r="R238"/>
      <c r="S238"/>
      <c r="T238"/>
    </row>
    <row r="239" spans="15:20" x14ac:dyDescent="0.2">
      <c r="O239"/>
      <c r="P239"/>
      <c r="Q239"/>
      <c r="R239"/>
      <c r="S239"/>
      <c r="T239"/>
    </row>
    <row r="240" spans="15:20" x14ac:dyDescent="0.2">
      <c r="O240"/>
      <c r="P240"/>
      <c r="Q240"/>
      <c r="R240"/>
      <c r="S240"/>
      <c r="T240"/>
    </row>
    <row r="241" spans="15:20" x14ac:dyDescent="0.2">
      <c r="O241"/>
      <c r="P241"/>
      <c r="Q241"/>
      <c r="R241"/>
      <c r="S241"/>
      <c r="T241"/>
    </row>
    <row r="242" spans="15:20" x14ac:dyDescent="0.2">
      <c r="O242"/>
      <c r="P242"/>
      <c r="Q242"/>
      <c r="R242"/>
      <c r="S242"/>
      <c r="T242"/>
    </row>
    <row r="243" spans="15:20" x14ac:dyDescent="0.2">
      <c r="O243"/>
      <c r="P243"/>
      <c r="Q243"/>
      <c r="R243"/>
      <c r="S243"/>
      <c r="T243"/>
    </row>
    <row r="244" spans="15:20" x14ac:dyDescent="0.2">
      <c r="O244"/>
      <c r="P244"/>
      <c r="Q244"/>
      <c r="R244"/>
      <c r="S244"/>
      <c r="T244"/>
    </row>
    <row r="245" spans="15:20" x14ac:dyDescent="0.2">
      <c r="O245"/>
      <c r="P245"/>
      <c r="Q245"/>
      <c r="R245"/>
      <c r="S245"/>
      <c r="T245"/>
    </row>
    <row r="246" spans="15:20" x14ac:dyDescent="0.2">
      <c r="O246"/>
      <c r="P246"/>
      <c r="Q246"/>
      <c r="R246"/>
      <c r="S246"/>
      <c r="T246"/>
    </row>
    <row r="247" spans="15:20" x14ac:dyDescent="0.2">
      <c r="O247"/>
      <c r="P247"/>
      <c r="Q247"/>
      <c r="R247"/>
      <c r="S247"/>
      <c r="T247"/>
    </row>
    <row r="248" spans="15:20" x14ac:dyDescent="0.2">
      <c r="O248"/>
      <c r="P248"/>
      <c r="Q248"/>
      <c r="R248"/>
      <c r="S248"/>
      <c r="T248"/>
    </row>
    <row r="249" spans="15:20" x14ac:dyDescent="0.2">
      <c r="O249"/>
      <c r="P249"/>
      <c r="Q249"/>
      <c r="R249"/>
      <c r="S249"/>
      <c r="T249"/>
    </row>
    <row r="250" spans="15:20" x14ac:dyDescent="0.2">
      <c r="O250"/>
      <c r="P250"/>
      <c r="Q250"/>
      <c r="R250"/>
      <c r="S250"/>
      <c r="T250"/>
    </row>
    <row r="251" spans="15:20" x14ac:dyDescent="0.2">
      <c r="O251"/>
      <c r="P251"/>
      <c r="Q251"/>
      <c r="R251"/>
      <c r="S251"/>
      <c r="T251"/>
    </row>
    <row r="252" spans="15:20" x14ac:dyDescent="0.2">
      <c r="O252"/>
      <c r="P252"/>
      <c r="Q252"/>
      <c r="R252"/>
      <c r="S252"/>
      <c r="T252"/>
    </row>
    <row r="253" spans="15:20" x14ac:dyDescent="0.2">
      <c r="O253"/>
      <c r="P253"/>
      <c r="Q253"/>
      <c r="R253"/>
      <c r="S253"/>
      <c r="T253"/>
    </row>
    <row r="254" spans="15:20" x14ac:dyDescent="0.2">
      <c r="O254"/>
      <c r="P254"/>
      <c r="Q254"/>
      <c r="R254"/>
      <c r="S254"/>
      <c r="T254"/>
    </row>
    <row r="255" spans="15:20" x14ac:dyDescent="0.2">
      <c r="O255"/>
      <c r="P255"/>
      <c r="Q255"/>
      <c r="R255"/>
      <c r="S255"/>
      <c r="T255"/>
    </row>
    <row r="256" spans="15:20" x14ac:dyDescent="0.2">
      <c r="O256"/>
      <c r="P256"/>
      <c r="Q256"/>
      <c r="R256"/>
      <c r="S256"/>
      <c r="T256"/>
    </row>
    <row r="257" spans="15:20" x14ac:dyDescent="0.2">
      <c r="O257"/>
      <c r="P257"/>
      <c r="Q257"/>
      <c r="R257"/>
      <c r="S257"/>
      <c r="T257"/>
    </row>
    <row r="258" spans="15:20" x14ac:dyDescent="0.2">
      <c r="O258"/>
      <c r="P258"/>
      <c r="Q258"/>
      <c r="R258"/>
      <c r="S258"/>
      <c r="T258"/>
    </row>
    <row r="259" spans="15:20" x14ac:dyDescent="0.2">
      <c r="O259"/>
      <c r="P259"/>
      <c r="Q259"/>
      <c r="R259"/>
      <c r="S259"/>
      <c r="T259"/>
    </row>
    <row r="260" spans="15:20" x14ac:dyDescent="0.2">
      <c r="O260"/>
      <c r="P260"/>
      <c r="Q260"/>
      <c r="R260"/>
      <c r="S260"/>
      <c r="T260"/>
    </row>
    <row r="261" spans="15:20" x14ac:dyDescent="0.2">
      <c r="O261"/>
      <c r="P261"/>
      <c r="Q261"/>
      <c r="R261"/>
      <c r="S261"/>
      <c r="T261"/>
    </row>
    <row r="262" spans="15:20" x14ac:dyDescent="0.2">
      <c r="O262"/>
      <c r="P262"/>
      <c r="Q262"/>
      <c r="R262"/>
      <c r="S262"/>
      <c r="T262"/>
    </row>
    <row r="263" spans="15:20" x14ac:dyDescent="0.2">
      <c r="O263"/>
      <c r="P263"/>
      <c r="Q263"/>
      <c r="R263"/>
      <c r="S263"/>
      <c r="T263"/>
    </row>
    <row r="264" spans="15:20" x14ac:dyDescent="0.2">
      <c r="O264"/>
      <c r="P264"/>
      <c r="Q264"/>
      <c r="R264"/>
      <c r="S264"/>
      <c r="T264"/>
    </row>
    <row r="265" spans="15:20" x14ac:dyDescent="0.2">
      <c r="O265"/>
      <c r="P265"/>
      <c r="Q265"/>
      <c r="R265"/>
      <c r="S265"/>
      <c r="T265"/>
    </row>
    <row r="266" spans="15:20" x14ac:dyDescent="0.2">
      <c r="O266"/>
      <c r="P266"/>
      <c r="Q266"/>
      <c r="R266"/>
      <c r="S266"/>
      <c r="T266"/>
    </row>
    <row r="267" spans="15:20" x14ac:dyDescent="0.2">
      <c r="O267"/>
      <c r="P267"/>
      <c r="Q267"/>
      <c r="R267"/>
      <c r="S267"/>
      <c r="T267"/>
    </row>
    <row r="268" spans="15:20" x14ac:dyDescent="0.2">
      <c r="O268"/>
      <c r="P268"/>
      <c r="Q268"/>
      <c r="R268"/>
      <c r="S268"/>
      <c r="T268"/>
    </row>
    <row r="269" spans="15:20" x14ac:dyDescent="0.2">
      <c r="O269"/>
      <c r="P269"/>
      <c r="Q269"/>
      <c r="R269"/>
      <c r="S269"/>
      <c r="T269"/>
    </row>
    <row r="270" spans="15:20" x14ac:dyDescent="0.2">
      <c r="O270"/>
      <c r="P270"/>
      <c r="Q270"/>
      <c r="R270"/>
      <c r="S270"/>
      <c r="T270"/>
    </row>
    <row r="271" spans="15:20" x14ac:dyDescent="0.2">
      <c r="O271"/>
      <c r="P271"/>
      <c r="Q271"/>
      <c r="R271"/>
      <c r="S271"/>
      <c r="T271"/>
    </row>
    <row r="272" spans="15:20" x14ac:dyDescent="0.2">
      <c r="O272"/>
      <c r="P272"/>
      <c r="Q272"/>
      <c r="R272"/>
      <c r="S272"/>
      <c r="T272"/>
    </row>
    <row r="273" spans="15:20" x14ac:dyDescent="0.2">
      <c r="O273"/>
      <c r="P273"/>
      <c r="Q273"/>
      <c r="R273"/>
      <c r="S273"/>
      <c r="T273"/>
    </row>
    <row r="274" spans="15:20" x14ac:dyDescent="0.2">
      <c r="O274"/>
      <c r="P274"/>
      <c r="Q274"/>
      <c r="R274"/>
      <c r="S274"/>
      <c r="T274"/>
    </row>
    <row r="275" spans="15:20" x14ac:dyDescent="0.2">
      <c r="O275"/>
      <c r="P275"/>
      <c r="Q275"/>
      <c r="R275"/>
      <c r="S275"/>
      <c r="T275"/>
    </row>
    <row r="276" spans="15:20" x14ac:dyDescent="0.2">
      <c r="O276"/>
      <c r="P276"/>
      <c r="Q276"/>
      <c r="R276"/>
      <c r="S276"/>
      <c r="T276"/>
    </row>
    <row r="277" spans="15:20" x14ac:dyDescent="0.2">
      <c r="O277"/>
      <c r="P277"/>
      <c r="Q277"/>
      <c r="R277"/>
      <c r="S277"/>
      <c r="T277"/>
    </row>
    <row r="278" spans="15:20" x14ac:dyDescent="0.2">
      <c r="O278"/>
      <c r="P278"/>
      <c r="Q278"/>
      <c r="R278"/>
      <c r="S278"/>
      <c r="T278"/>
    </row>
    <row r="279" spans="15:20" x14ac:dyDescent="0.2">
      <c r="O279"/>
      <c r="P279"/>
      <c r="Q279"/>
      <c r="R279"/>
      <c r="S279"/>
      <c r="T279"/>
    </row>
    <row r="280" spans="15:20" x14ac:dyDescent="0.2">
      <c r="O280"/>
      <c r="P280"/>
      <c r="Q280"/>
      <c r="R280"/>
      <c r="S280"/>
      <c r="T280"/>
    </row>
    <row r="281" spans="15:20" x14ac:dyDescent="0.2">
      <c r="O281"/>
      <c r="P281"/>
      <c r="Q281"/>
      <c r="R281"/>
      <c r="S281"/>
      <c r="T281"/>
    </row>
    <row r="282" spans="15:20" x14ac:dyDescent="0.2">
      <c r="O282"/>
      <c r="P282"/>
      <c r="Q282"/>
      <c r="R282"/>
      <c r="S282"/>
      <c r="T282"/>
    </row>
    <row r="283" spans="15:20" x14ac:dyDescent="0.2">
      <c r="O283"/>
      <c r="P283"/>
      <c r="Q283"/>
      <c r="R283"/>
      <c r="S283"/>
      <c r="T283"/>
    </row>
    <row r="284" spans="15:20" x14ac:dyDescent="0.2">
      <c r="O284"/>
      <c r="P284"/>
      <c r="Q284"/>
      <c r="R284"/>
      <c r="S284"/>
      <c r="T284"/>
    </row>
    <row r="285" spans="15:20" x14ac:dyDescent="0.2">
      <c r="O285"/>
      <c r="P285"/>
      <c r="Q285"/>
      <c r="R285"/>
      <c r="S285"/>
      <c r="T285"/>
    </row>
    <row r="286" spans="15:20" x14ac:dyDescent="0.2">
      <c r="O286"/>
      <c r="P286"/>
      <c r="Q286"/>
      <c r="R286"/>
      <c r="S286"/>
      <c r="T286"/>
    </row>
    <row r="287" spans="15:20" x14ac:dyDescent="0.2">
      <c r="O287"/>
      <c r="P287"/>
      <c r="Q287"/>
      <c r="R287"/>
      <c r="S287"/>
      <c r="T287"/>
    </row>
    <row r="288" spans="15:20" x14ac:dyDescent="0.2">
      <c r="O288"/>
      <c r="P288"/>
      <c r="Q288"/>
      <c r="R288"/>
      <c r="S288"/>
      <c r="T288"/>
    </row>
    <row r="289" spans="15:20" x14ac:dyDescent="0.2">
      <c r="O289"/>
      <c r="P289"/>
      <c r="Q289"/>
      <c r="R289"/>
      <c r="S289"/>
      <c r="T289"/>
    </row>
    <row r="290" spans="15:20" x14ac:dyDescent="0.2">
      <c r="O290"/>
      <c r="P290"/>
      <c r="Q290"/>
      <c r="R290"/>
      <c r="S290"/>
      <c r="T290"/>
    </row>
    <row r="291" spans="15:20" x14ac:dyDescent="0.2">
      <c r="O291"/>
      <c r="P291"/>
      <c r="Q291"/>
      <c r="R291"/>
      <c r="S291"/>
      <c r="T291"/>
    </row>
    <row r="292" spans="15:20" x14ac:dyDescent="0.2">
      <c r="O292"/>
      <c r="P292"/>
      <c r="Q292"/>
      <c r="R292"/>
      <c r="S292"/>
      <c r="T292"/>
    </row>
    <row r="293" spans="15:20" x14ac:dyDescent="0.2">
      <c r="O293"/>
      <c r="P293"/>
      <c r="Q293"/>
      <c r="R293"/>
      <c r="S293"/>
      <c r="T293"/>
    </row>
    <row r="294" spans="15:20" x14ac:dyDescent="0.2">
      <c r="O294"/>
      <c r="P294"/>
      <c r="Q294"/>
      <c r="R294"/>
      <c r="S294"/>
      <c r="T294"/>
    </row>
    <row r="295" spans="15:20" x14ac:dyDescent="0.2">
      <c r="O295"/>
      <c r="P295"/>
      <c r="Q295"/>
      <c r="R295"/>
      <c r="S295"/>
      <c r="T295"/>
    </row>
    <row r="296" spans="15:20" x14ac:dyDescent="0.2">
      <c r="O296"/>
      <c r="P296"/>
      <c r="Q296"/>
      <c r="R296"/>
      <c r="S296"/>
      <c r="T296"/>
    </row>
    <row r="297" spans="15:20" x14ac:dyDescent="0.2">
      <c r="O297"/>
      <c r="P297"/>
      <c r="Q297"/>
      <c r="R297"/>
      <c r="S297"/>
      <c r="T297"/>
    </row>
    <row r="298" spans="15:20" x14ac:dyDescent="0.2">
      <c r="O298"/>
      <c r="P298"/>
      <c r="Q298"/>
      <c r="R298"/>
      <c r="S298"/>
      <c r="T298"/>
    </row>
    <row r="299" spans="15:20" x14ac:dyDescent="0.2">
      <c r="O299"/>
      <c r="P299"/>
      <c r="Q299"/>
      <c r="R299"/>
      <c r="S299"/>
      <c r="T299"/>
    </row>
    <row r="300" spans="15:20" x14ac:dyDescent="0.2">
      <c r="O300"/>
      <c r="P300"/>
      <c r="Q300"/>
      <c r="R300"/>
      <c r="S300"/>
      <c r="T300"/>
    </row>
    <row r="301" spans="15:20" x14ac:dyDescent="0.2">
      <c r="O301"/>
      <c r="P301"/>
      <c r="Q301"/>
      <c r="R301"/>
      <c r="S301"/>
      <c r="T301"/>
    </row>
    <row r="302" spans="15:20" x14ac:dyDescent="0.2">
      <c r="O302"/>
      <c r="P302"/>
      <c r="Q302"/>
      <c r="R302"/>
      <c r="S302"/>
      <c r="T302"/>
    </row>
    <row r="303" spans="15:20" x14ac:dyDescent="0.2">
      <c r="O303"/>
      <c r="P303"/>
      <c r="Q303"/>
      <c r="R303"/>
      <c r="S303"/>
      <c r="T303"/>
    </row>
    <row r="304" spans="15:20" x14ac:dyDescent="0.2">
      <c r="O304"/>
      <c r="P304"/>
      <c r="Q304"/>
      <c r="R304"/>
      <c r="S304"/>
      <c r="T304"/>
    </row>
    <row r="305" spans="15:20" x14ac:dyDescent="0.2">
      <c r="O305"/>
      <c r="P305"/>
      <c r="Q305"/>
      <c r="R305"/>
      <c r="S305"/>
      <c r="T305"/>
    </row>
    <row r="306" spans="15:20" x14ac:dyDescent="0.2">
      <c r="O306"/>
      <c r="P306"/>
      <c r="Q306"/>
      <c r="R306"/>
      <c r="S306"/>
      <c r="T306"/>
    </row>
    <row r="307" spans="15:20" x14ac:dyDescent="0.2">
      <c r="O307"/>
      <c r="P307"/>
      <c r="Q307"/>
      <c r="R307"/>
      <c r="S307"/>
      <c r="T307"/>
    </row>
    <row r="308" spans="15:20" x14ac:dyDescent="0.2">
      <c r="O308"/>
      <c r="P308"/>
      <c r="Q308"/>
      <c r="R308"/>
      <c r="S308"/>
      <c r="T308"/>
    </row>
    <row r="309" spans="15:20" x14ac:dyDescent="0.2">
      <c r="O309"/>
      <c r="P309"/>
      <c r="Q309"/>
      <c r="R309"/>
      <c r="S309"/>
      <c r="T309"/>
    </row>
    <row r="310" spans="15:20" x14ac:dyDescent="0.2">
      <c r="O310"/>
      <c r="P310"/>
      <c r="Q310"/>
      <c r="R310"/>
      <c r="S310"/>
      <c r="T310"/>
    </row>
    <row r="311" spans="15:20" x14ac:dyDescent="0.2">
      <c r="O311"/>
      <c r="P311"/>
      <c r="Q311"/>
      <c r="R311"/>
      <c r="S311"/>
      <c r="T311"/>
    </row>
    <row r="312" spans="15:20" x14ac:dyDescent="0.2">
      <c r="O312"/>
      <c r="P312"/>
      <c r="Q312"/>
      <c r="R312"/>
      <c r="S312"/>
      <c r="T312"/>
    </row>
    <row r="313" spans="15:20" x14ac:dyDescent="0.2">
      <c r="O313"/>
      <c r="P313"/>
      <c r="Q313"/>
      <c r="R313"/>
      <c r="S313"/>
      <c r="T313"/>
    </row>
    <row r="314" spans="15:20" x14ac:dyDescent="0.2">
      <c r="O314"/>
      <c r="P314"/>
      <c r="Q314"/>
      <c r="R314"/>
      <c r="S314"/>
      <c r="T314"/>
    </row>
    <row r="315" spans="15:20" x14ac:dyDescent="0.2">
      <c r="O315"/>
      <c r="P315"/>
      <c r="Q315"/>
      <c r="R315"/>
      <c r="S315"/>
      <c r="T315"/>
    </row>
    <row r="316" spans="15:20" x14ac:dyDescent="0.2">
      <c r="O316"/>
      <c r="P316"/>
      <c r="Q316"/>
      <c r="R316"/>
      <c r="S316"/>
      <c r="T316"/>
    </row>
    <row r="317" spans="15:20" x14ac:dyDescent="0.2">
      <c r="O317"/>
      <c r="P317"/>
      <c r="Q317"/>
      <c r="R317"/>
      <c r="S317"/>
      <c r="T317"/>
    </row>
    <row r="318" spans="15:20" x14ac:dyDescent="0.2">
      <c r="O318"/>
      <c r="P318"/>
      <c r="Q318"/>
      <c r="R318"/>
      <c r="S318"/>
      <c r="T318"/>
    </row>
    <row r="319" spans="15:20" x14ac:dyDescent="0.2">
      <c r="O319"/>
      <c r="P319"/>
      <c r="Q319"/>
      <c r="R319"/>
      <c r="S319"/>
      <c r="T319"/>
    </row>
    <row r="320" spans="15:20" x14ac:dyDescent="0.2">
      <c r="O320"/>
      <c r="P320"/>
      <c r="Q320"/>
      <c r="R320"/>
      <c r="S320"/>
      <c r="T320"/>
    </row>
    <row r="321" spans="15:20" x14ac:dyDescent="0.2">
      <c r="O321"/>
      <c r="P321"/>
      <c r="Q321"/>
      <c r="R321"/>
      <c r="S321"/>
      <c r="T321"/>
    </row>
    <row r="322" spans="15:20" x14ac:dyDescent="0.2">
      <c r="O322"/>
      <c r="P322"/>
      <c r="Q322"/>
      <c r="R322"/>
      <c r="S322"/>
      <c r="T322"/>
    </row>
    <row r="323" spans="15:20" x14ac:dyDescent="0.2">
      <c r="O323"/>
      <c r="P323"/>
      <c r="Q323"/>
      <c r="R323"/>
      <c r="S323"/>
      <c r="T323"/>
    </row>
    <row r="324" spans="15:20" x14ac:dyDescent="0.2">
      <c r="O324"/>
      <c r="P324"/>
      <c r="Q324"/>
      <c r="R324"/>
      <c r="S324"/>
      <c r="T324"/>
    </row>
    <row r="325" spans="15:20" x14ac:dyDescent="0.2">
      <c r="O325"/>
      <c r="P325"/>
      <c r="Q325"/>
      <c r="R325"/>
      <c r="S325"/>
      <c r="T325"/>
    </row>
    <row r="326" spans="15:20" x14ac:dyDescent="0.2">
      <c r="O326"/>
      <c r="P326"/>
      <c r="Q326"/>
      <c r="R326"/>
      <c r="S326"/>
      <c r="T326"/>
    </row>
    <row r="327" spans="15:20" x14ac:dyDescent="0.2">
      <c r="O327"/>
      <c r="P327"/>
      <c r="Q327"/>
      <c r="R327"/>
      <c r="S327"/>
      <c r="T327"/>
    </row>
    <row r="328" spans="15:20" x14ac:dyDescent="0.2">
      <c r="O328"/>
      <c r="P328"/>
      <c r="Q328"/>
      <c r="R328"/>
      <c r="S328"/>
      <c r="T328"/>
    </row>
    <row r="329" spans="15:20" x14ac:dyDescent="0.2">
      <c r="O329"/>
      <c r="P329"/>
      <c r="Q329"/>
      <c r="R329"/>
      <c r="S329"/>
      <c r="T329"/>
    </row>
    <row r="330" spans="15:20" x14ac:dyDescent="0.2">
      <c r="O330"/>
      <c r="P330"/>
      <c r="Q330"/>
      <c r="R330"/>
      <c r="S330"/>
      <c r="T330"/>
    </row>
    <row r="331" spans="15:20" x14ac:dyDescent="0.2">
      <c r="O331"/>
      <c r="P331"/>
      <c r="Q331"/>
      <c r="R331"/>
      <c r="S331"/>
      <c r="T331"/>
    </row>
    <row r="332" spans="15:20" x14ac:dyDescent="0.2">
      <c r="O332"/>
      <c r="P332"/>
      <c r="Q332"/>
      <c r="R332"/>
      <c r="S332"/>
      <c r="T332"/>
    </row>
    <row r="333" spans="15:20" x14ac:dyDescent="0.2">
      <c r="O333"/>
      <c r="P333"/>
      <c r="Q333"/>
      <c r="R333"/>
      <c r="S333"/>
      <c r="T333"/>
    </row>
    <row r="334" spans="15:20" x14ac:dyDescent="0.2">
      <c r="O334"/>
      <c r="P334"/>
      <c r="Q334"/>
      <c r="R334"/>
      <c r="S334"/>
      <c r="T334"/>
    </row>
    <row r="335" spans="15:20" x14ac:dyDescent="0.2">
      <c r="O335"/>
      <c r="P335"/>
      <c r="Q335"/>
      <c r="R335"/>
      <c r="S335"/>
      <c r="T335"/>
    </row>
    <row r="336" spans="15:20" x14ac:dyDescent="0.2">
      <c r="O336"/>
      <c r="P336"/>
      <c r="Q336"/>
      <c r="R336"/>
      <c r="S336"/>
      <c r="T336"/>
    </row>
    <row r="337" spans="15:20" x14ac:dyDescent="0.2">
      <c r="O337"/>
      <c r="P337"/>
      <c r="Q337"/>
      <c r="R337"/>
      <c r="S337"/>
      <c r="T337"/>
    </row>
    <row r="338" spans="15:20" x14ac:dyDescent="0.2">
      <c r="O338"/>
      <c r="P338"/>
      <c r="Q338"/>
      <c r="R338"/>
      <c r="S338"/>
      <c r="T338"/>
    </row>
    <row r="339" spans="15:20" x14ac:dyDescent="0.2">
      <c r="O339"/>
      <c r="P339"/>
      <c r="Q339"/>
      <c r="R339"/>
      <c r="S339"/>
      <c r="T339"/>
    </row>
    <row r="340" spans="15:20" x14ac:dyDescent="0.2">
      <c r="O340"/>
      <c r="P340"/>
      <c r="Q340"/>
      <c r="R340"/>
      <c r="S340"/>
      <c r="T340"/>
    </row>
    <row r="341" spans="15:20" x14ac:dyDescent="0.2">
      <c r="O341"/>
      <c r="P341"/>
      <c r="Q341"/>
      <c r="R341"/>
      <c r="S341"/>
      <c r="T341"/>
    </row>
    <row r="342" spans="15:20" x14ac:dyDescent="0.2">
      <c r="O342"/>
      <c r="P342"/>
      <c r="Q342"/>
      <c r="R342"/>
      <c r="S342"/>
      <c r="T342"/>
    </row>
    <row r="343" spans="15:20" x14ac:dyDescent="0.2">
      <c r="O343"/>
      <c r="P343"/>
      <c r="Q343"/>
      <c r="R343"/>
      <c r="S343"/>
      <c r="T343"/>
    </row>
    <row r="344" spans="15:20" x14ac:dyDescent="0.2">
      <c r="O344"/>
      <c r="P344"/>
      <c r="Q344"/>
      <c r="R344"/>
      <c r="S344"/>
      <c r="T344"/>
    </row>
    <row r="345" spans="15:20" x14ac:dyDescent="0.2">
      <c r="O345"/>
      <c r="P345"/>
      <c r="Q345"/>
      <c r="R345"/>
      <c r="S345"/>
      <c r="T345"/>
    </row>
    <row r="346" spans="15:20" x14ac:dyDescent="0.2">
      <c r="O346"/>
      <c r="P346"/>
      <c r="Q346"/>
      <c r="R346"/>
      <c r="S346"/>
      <c r="T346"/>
    </row>
    <row r="347" spans="15:20" x14ac:dyDescent="0.2">
      <c r="O347"/>
      <c r="P347"/>
      <c r="Q347"/>
      <c r="R347"/>
      <c r="S347"/>
      <c r="T347"/>
    </row>
    <row r="348" spans="15:20" x14ac:dyDescent="0.2">
      <c r="O348"/>
      <c r="P348"/>
      <c r="Q348"/>
      <c r="R348"/>
      <c r="S348"/>
      <c r="T348"/>
    </row>
    <row r="349" spans="15:20" x14ac:dyDescent="0.2">
      <c r="O349"/>
      <c r="P349"/>
      <c r="Q349"/>
      <c r="R349"/>
      <c r="S349"/>
      <c r="T349"/>
    </row>
    <row r="350" spans="15:20" x14ac:dyDescent="0.2">
      <c r="O350"/>
      <c r="P350"/>
      <c r="Q350"/>
      <c r="R350"/>
      <c r="S350"/>
      <c r="T350"/>
    </row>
    <row r="351" spans="15:20" x14ac:dyDescent="0.2">
      <c r="O351"/>
      <c r="P351"/>
      <c r="Q351"/>
      <c r="R351"/>
      <c r="S351"/>
      <c r="T351"/>
    </row>
    <row r="352" spans="15:20" x14ac:dyDescent="0.2">
      <c r="O352"/>
      <c r="P352"/>
      <c r="Q352"/>
      <c r="R352"/>
      <c r="S352"/>
      <c r="T352"/>
    </row>
    <row r="353" spans="15:20" x14ac:dyDescent="0.2">
      <c r="O353"/>
      <c r="P353"/>
      <c r="Q353"/>
      <c r="R353"/>
      <c r="S353"/>
      <c r="T353"/>
    </row>
    <row r="354" spans="15:20" x14ac:dyDescent="0.2">
      <c r="O354"/>
      <c r="P354"/>
      <c r="Q354"/>
      <c r="R354"/>
      <c r="S354"/>
      <c r="T354"/>
    </row>
    <row r="355" spans="15:20" x14ac:dyDescent="0.2">
      <c r="O355"/>
      <c r="P355"/>
      <c r="Q355"/>
      <c r="R355"/>
      <c r="S355"/>
      <c r="T355"/>
    </row>
    <row r="356" spans="15:20" x14ac:dyDescent="0.2">
      <c r="O356"/>
      <c r="P356"/>
      <c r="Q356"/>
      <c r="R356"/>
      <c r="S356"/>
      <c r="T356"/>
    </row>
    <row r="357" spans="15:20" x14ac:dyDescent="0.2">
      <c r="O357"/>
      <c r="P357"/>
      <c r="Q357"/>
      <c r="R357"/>
      <c r="S357"/>
      <c r="T357"/>
    </row>
    <row r="358" spans="15:20" x14ac:dyDescent="0.2">
      <c r="O358"/>
      <c r="P358"/>
      <c r="Q358"/>
      <c r="R358"/>
      <c r="S358"/>
      <c r="T358"/>
    </row>
    <row r="359" spans="15:20" x14ac:dyDescent="0.2">
      <c r="O359"/>
      <c r="P359"/>
      <c r="Q359"/>
      <c r="R359"/>
      <c r="S359"/>
      <c r="T359"/>
    </row>
    <row r="360" spans="15:20" x14ac:dyDescent="0.2">
      <c r="O360"/>
      <c r="P360"/>
      <c r="Q360"/>
      <c r="R360"/>
      <c r="S360"/>
      <c r="T360"/>
    </row>
    <row r="361" spans="15:20" x14ac:dyDescent="0.2">
      <c r="O361"/>
      <c r="P361"/>
      <c r="Q361"/>
      <c r="R361"/>
      <c r="S361"/>
      <c r="T361"/>
    </row>
    <row r="362" spans="15:20" x14ac:dyDescent="0.2">
      <c r="O362"/>
      <c r="P362"/>
      <c r="Q362"/>
      <c r="R362"/>
      <c r="S362"/>
      <c r="T362"/>
    </row>
    <row r="363" spans="15:20" x14ac:dyDescent="0.2">
      <c r="O363"/>
      <c r="P363"/>
      <c r="Q363"/>
      <c r="R363"/>
      <c r="S363"/>
      <c r="T363"/>
    </row>
    <row r="364" spans="15:20" x14ac:dyDescent="0.2">
      <c r="O364"/>
      <c r="P364"/>
      <c r="Q364"/>
      <c r="R364"/>
      <c r="S364"/>
      <c r="T364"/>
    </row>
    <row r="365" spans="15:20" x14ac:dyDescent="0.2">
      <c r="O365"/>
      <c r="P365"/>
      <c r="Q365"/>
      <c r="R365"/>
      <c r="S365"/>
      <c r="T365"/>
    </row>
    <row r="366" spans="15:20" x14ac:dyDescent="0.2">
      <c r="O366"/>
      <c r="P366"/>
      <c r="Q366"/>
      <c r="R366"/>
      <c r="S366"/>
      <c r="T366"/>
    </row>
    <row r="367" spans="15:20" x14ac:dyDescent="0.2">
      <c r="O367"/>
      <c r="P367"/>
      <c r="Q367"/>
      <c r="R367"/>
      <c r="S367"/>
      <c r="T367"/>
    </row>
    <row r="368" spans="15:20" x14ac:dyDescent="0.2">
      <c r="O368"/>
      <c r="P368"/>
      <c r="Q368"/>
      <c r="R368"/>
      <c r="S368"/>
      <c r="T368"/>
    </row>
    <row r="369" spans="15:20" x14ac:dyDescent="0.2">
      <c r="O369"/>
      <c r="P369"/>
      <c r="Q369"/>
      <c r="R369"/>
      <c r="S369"/>
      <c r="T369"/>
    </row>
    <row r="370" spans="15:20" x14ac:dyDescent="0.2">
      <c r="O370"/>
      <c r="P370"/>
      <c r="Q370"/>
      <c r="R370"/>
      <c r="S370"/>
      <c r="T370"/>
    </row>
    <row r="371" spans="15:20" x14ac:dyDescent="0.2">
      <c r="O371"/>
      <c r="P371"/>
      <c r="Q371"/>
      <c r="R371"/>
      <c r="S371"/>
      <c r="T371"/>
    </row>
    <row r="372" spans="15:20" x14ac:dyDescent="0.2">
      <c r="O372"/>
      <c r="P372"/>
      <c r="Q372"/>
      <c r="R372"/>
      <c r="S372"/>
      <c r="T372"/>
    </row>
    <row r="373" spans="15:20" x14ac:dyDescent="0.2">
      <c r="O373"/>
      <c r="P373"/>
      <c r="Q373"/>
      <c r="R373"/>
      <c r="S373"/>
      <c r="T373"/>
    </row>
    <row r="374" spans="15:20" x14ac:dyDescent="0.2">
      <c r="O374"/>
      <c r="P374"/>
      <c r="Q374"/>
      <c r="R374"/>
      <c r="S374"/>
      <c r="T374"/>
    </row>
    <row r="375" spans="15:20" x14ac:dyDescent="0.2">
      <c r="O375"/>
      <c r="P375"/>
      <c r="Q375"/>
      <c r="R375"/>
      <c r="S375"/>
      <c r="T375"/>
    </row>
    <row r="376" spans="15:20" x14ac:dyDescent="0.2">
      <c r="O376"/>
      <c r="P376"/>
      <c r="Q376"/>
      <c r="R376"/>
      <c r="S376"/>
      <c r="T376"/>
    </row>
    <row r="377" spans="15:20" x14ac:dyDescent="0.2">
      <c r="O377"/>
      <c r="P377"/>
      <c r="Q377"/>
      <c r="R377"/>
      <c r="S377"/>
      <c r="T377"/>
    </row>
    <row r="378" spans="15:20" x14ac:dyDescent="0.2">
      <c r="O378"/>
      <c r="P378"/>
      <c r="Q378"/>
      <c r="R378"/>
      <c r="S378"/>
      <c r="T378"/>
    </row>
    <row r="379" spans="15:20" x14ac:dyDescent="0.2">
      <c r="O379"/>
      <c r="P379"/>
      <c r="Q379"/>
      <c r="R379"/>
      <c r="S379"/>
      <c r="T379"/>
    </row>
    <row r="380" spans="15:20" x14ac:dyDescent="0.2">
      <c r="O380"/>
      <c r="P380"/>
      <c r="Q380"/>
      <c r="R380"/>
      <c r="S380"/>
      <c r="T380"/>
    </row>
    <row r="381" spans="15:20" x14ac:dyDescent="0.2">
      <c r="O381"/>
      <c r="P381"/>
      <c r="Q381"/>
      <c r="R381"/>
      <c r="S381"/>
      <c r="T381"/>
    </row>
    <row r="382" spans="15:20" x14ac:dyDescent="0.2">
      <c r="O382"/>
      <c r="P382"/>
      <c r="Q382"/>
      <c r="R382"/>
      <c r="S382"/>
      <c r="T382"/>
    </row>
    <row r="383" spans="15:20" x14ac:dyDescent="0.2">
      <c r="O383"/>
      <c r="P383"/>
      <c r="Q383"/>
      <c r="R383"/>
      <c r="S383"/>
      <c r="T383"/>
    </row>
    <row r="384" spans="15:20" x14ac:dyDescent="0.2">
      <c r="O384"/>
      <c r="P384"/>
      <c r="Q384"/>
      <c r="R384"/>
      <c r="S384"/>
      <c r="T384"/>
    </row>
    <row r="385" spans="15:20" x14ac:dyDescent="0.2">
      <c r="O385"/>
      <c r="P385"/>
      <c r="Q385"/>
      <c r="R385"/>
      <c r="S385"/>
      <c r="T385"/>
    </row>
    <row r="386" spans="15:20" x14ac:dyDescent="0.2">
      <c r="O386"/>
      <c r="P386"/>
      <c r="Q386"/>
      <c r="R386"/>
      <c r="S386"/>
      <c r="T386"/>
    </row>
    <row r="387" spans="15:20" x14ac:dyDescent="0.2">
      <c r="O387"/>
      <c r="P387"/>
      <c r="Q387"/>
      <c r="R387"/>
      <c r="S387"/>
      <c r="T387"/>
    </row>
    <row r="388" spans="15:20" x14ac:dyDescent="0.2">
      <c r="O388"/>
      <c r="P388"/>
      <c r="Q388"/>
      <c r="R388"/>
      <c r="S388"/>
      <c r="T388"/>
    </row>
    <row r="389" spans="15:20" x14ac:dyDescent="0.2">
      <c r="O389"/>
      <c r="P389"/>
      <c r="Q389"/>
      <c r="R389"/>
      <c r="S389"/>
      <c r="T389"/>
    </row>
    <row r="390" spans="15:20" x14ac:dyDescent="0.2">
      <c r="O390"/>
      <c r="P390"/>
      <c r="Q390"/>
      <c r="R390"/>
      <c r="S390"/>
      <c r="T390"/>
    </row>
    <row r="391" spans="15:20" x14ac:dyDescent="0.2">
      <c r="O391"/>
      <c r="P391"/>
      <c r="Q391"/>
      <c r="R391"/>
      <c r="S391"/>
      <c r="T391"/>
    </row>
    <row r="392" spans="15:20" x14ac:dyDescent="0.2">
      <c r="O392"/>
      <c r="P392"/>
      <c r="Q392"/>
      <c r="R392"/>
      <c r="S392"/>
      <c r="T392"/>
    </row>
    <row r="393" spans="15:20" x14ac:dyDescent="0.2">
      <c r="O393"/>
      <c r="P393"/>
      <c r="Q393"/>
      <c r="R393"/>
      <c r="S393"/>
      <c r="T393"/>
    </row>
    <row r="394" spans="15:20" x14ac:dyDescent="0.2">
      <c r="O394"/>
      <c r="P394"/>
      <c r="Q394"/>
      <c r="R394"/>
      <c r="S394"/>
      <c r="T394"/>
    </row>
    <row r="395" spans="15:20" x14ac:dyDescent="0.2">
      <c r="O395"/>
      <c r="P395"/>
      <c r="Q395"/>
      <c r="R395"/>
      <c r="S395"/>
      <c r="T395"/>
    </row>
    <row r="396" spans="15:20" x14ac:dyDescent="0.2">
      <c r="O396"/>
      <c r="P396"/>
      <c r="Q396"/>
      <c r="R396"/>
      <c r="S396"/>
      <c r="T396"/>
    </row>
    <row r="397" spans="15:20" x14ac:dyDescent="0.2">
      <c r="O397"/>
      <c r="P397"/>
      <c r="Q397"/>
      <c r="R397"/>
      <c r="S397"/>
      <c r="T397"/>
    </row>
    <row r="398" spans="15:20" x14ac:dyDescent="0.2">
      <c r="O398"/>
      <c r="P398"/>
      <c r="Q398"/>
      <c r="R398"/>
      <c r="S398"/>
      <c r="T398"/>
    </row>
    <row r="399" spans="15:20" x14ac:dyDescent="0.2">
      <c r="O399"/>
      <c r="P399"/>
      <c r="Q399"/>
      <c r="R399"/>
      <c r="S399"/>
      <c r="T399"/>
    </row>
    <row r="400" spans="15:20" x14ac:dyDescent="0.2">
      <c r="O400"/>
      <c r="P400"/>
      <c r="Q400"/>
      <c r="R400"/>
      <c r="S400"/>
      <c r="T400"/>
    </row>
    <row r="401" spans="15:20" x14ac:dyDescent="0.2">
      <c r="O401"/>
      <c r="P401"/>
      <c r="Q401"/>
      <c r="R401"/>
      <c r="S401"/>
      <c r="T401"/>
    </row>
    <row r="402" spans="15:20" x14ac:dyDescent="0.2">
      <c r="O402"/>
      <c r="P402"/>
      <c r="Q402"/>
      <c r="R402"/>
      <c r="S402"/>
      <c r="T402"/>
    </row>
    <row r="403" spans="15:20" x14ac:dyDescent="0.2">
      <c r="O403"/>
      <c r="P403"/>
      <c r="Q403"/>
      <c r="R403"/>
      <c r="S403"/>
      <c r="T403"/>
    </row>
    <row r="404" spans="15:20" x14ac:dyDescent="0.2">
      <c r="O404"/>
      <c r="P404"/>
      <c r="Q404"/>
      <c r="R404"/>
      <c r="S404"/>
      <c r="T404"/>
    </row>
    <row r="405" spans="15:20" x14ac:dyDescent="0.2">
      <c r="O405"/>
      <c r="P405"/>
      <c r="Q405"/>
      <c r="R405"/>
      <c r="S405"/>
      <c r="T405"/>
    </row>
    <row r="406" spans="15:20" x14ac:dyDescent="0.2">
      <c r="O406"/>
      <c r="P406"/>
      <c r="Q406"/>
      <c r="R406"/>
      <c r="S406"/>
      <c r="T406"/>
    </row>
    <row r="407" spans="15:20" x14ac:dyDescent="0.2">
      <c r="O407"/>
      <c r="P407"/>
      <c r="Q407"/>
      <c r="R407"/>
      <c r="S407"/>
      <c r="T407"/>
    </row>
    <row r="408" spans="15:20" x14ac:dyDescent="0.2">
      <c r="O408"/>
      <c r="P408"/>
      <c r="Q408"/>
      <c r="R408"/>
      <c r="S408"/>
      <c r="T408"/>
    </row>
    <row r="409" spans="15:20" x14ac:dyDescent="0.2">
      <c r="O409"/>
      <c r="P409"/>
      <c r="Q409"/>
      <c r="R409"/>
      <c r="S409"/>
      <c r="T409"/>
    </row>
    <row r="410" spans="15:20" x14ac:dyDescent="0.2">
      <c r="O410"/>
      <c r="P410"/>
      <c r="Q410"/>
      <c r="R410"/>
      <c r="S410"/>
      <c r="T410"/>
    </row>
    <row r="411" spans="15:20" x14ac:dyDescent="0.2">
      <c r="O411"/>
      <c r="P411"/>
      <c r="Q411"/>
      <c r="R411"/>
      <c r="S411"/>
      <c r="T411"/>
    </row>
    <row r="412" spans="15:20" x14ac:dyDescent="0.2">
      <c r="O412"/>
      <c r="P412"/>
      <c r="Q412"/>
      <c r="R412"/>
      <c r="S412"/>
      <c r="T412"/>
    </row>
    <row r="413" spans="15:20" x14ac:dyDescent="0.2">
      <c r="O413"/>
      <c r="P413"/>
      <c r="Q413"/>
      <c r="R413"/>
      <c r="S413"/>
      <c r="T413"/>
    </row>
    <row r="414" spans="15:20" x14ac:dyDescent="0.2">
      <c r="O414"/>
      <c r="P414"/>
      <c r="Q414"/>
      <c r="R414"/>
      <c r="S414"/>
      <c r="T414"/>
    </row>
    <row r="415" spans="15:20" x14ac:dyDescent="0.2">
      <c r="O415"/>
      <c r="P415"/>
      <c r="Q415"/>
      <c r="R415"/>
      <c r="S415"/>
      <c r="T415"/>
    </row>
    <row r="416" spans="15:20" x14ac:dyDescent="0.2">
      <c r="O416"/>
      <c r="P416"/>
      <c r="Q416"/>
      <c r="R416"/>
      <c r="S416"/>
      <c r="T416"/>
    </row>
    <row r="417" spans="15:20" x14ac:dyDescent="0.2">
      <c r="O417"/>
      <c r="P417"/>
      <c r="Q417"/>
      <c r="R417"/>
      <c r="S417"/>
      <c r="T417"/>
    </row>
    <row r="418" spans="15:20" x14ac:dyDescent="0.2">
      <c r="O418"/>
      <c r="P418"/>
      <c r="Q418"/>
      <c r="R418"/>
      <c r="S418"/>
      <c r="T418"/>
    </row>
    <row r="419" spans="15:20" x14ac:dyDescent="0.2">
      <c r="O419"/>
      <c r="P419"/>
      <c r="Q419"/>
      <c r="R419"/>
      <c r="S419"/>
      <c r="T419"/>
    </row>
    <row r="420" spans="15:20" x14ac:dyDescent="0.2">
      <c r="O420"/>
      <c r="P420"/>
      <c r="Q420"/>
      <c r="R420"/>
      <c r="S420"/>
      <c r="T420"/>
    </row>
    <row r="421" spans="15:20" x14ac:dyDescent="0.2">
      <c r="O421"/>
      <c r="P421"/>
      <c r="Q421"/>
      <c r="R421"/>
      <c r="S421"/>
      <c r="T421"/>
    </row>
    <row r="422" spans="15:20" x14ac:dyDescent="0.2">
      <c r="O422"/>
      <c r="P422"/>
      <c r="Q422"/>
      <c r="R422"/>
      <c r="S422"/>
      <c r="T422"/>
    </row>
    <row r="423" spans="15:20" x14ac:dyDescent="0.2">
      <c r="O423"/>
      <c r="P423"/>
      <c r="Q423"/>
      <c r="R423"/>
      <c r="S423"/>
      <c r="T423"/>
    </row>
    <row r="424" spans="15:20" x14ac:dyDescent="0.2">
      <c r="O424"/>
      <c r="P424"/>
      <c r="Q424"/>
      <c r="R424"/>
      <c r="S424"/>
      <c r="T424"/>
    </row>
    <row r="425" spans="15:20" x14ac:dyDescent="0.2">
      <c r="O425"/>
      <c r="P425"/>
      <c r="Q425"/>
      <c r="R425"/>
      <c r="S425"/>
      <c r="T425"/>
    </row>
    <row r="426" spans="15:20" x14ac:dyDescent="0.2">
      <c r="O426"/>
      <c r="P426"/>
      <c r="Q426"/>
      <c r="R426"/>
      <c r="S426"/>
      <c r="T426"/>
    </row>
    <row r="427" spans="15:20" x14ac:dyDescent="0.2">
      <c r="O427"/>
      <c r="P427"/>
      <c r="Q427"/>
      <c r="R427"/>
      <c r="S427"/>
      <c r="T427"/>
    </row>
    <row r="428" spans="15:20" x14ac:dyDescent="0.2">
      <c r="O428"/>
      <c r="P428"/>
      <c r="Q428"/>
      <c r="R428"/>
      <c r="S428"/>
      <c r="T428"/>
    </row>
    <row r="429" spans="15:20" x14ac:dyDescent="0.2">
      <c r="O429"/>
      <c r="P429"/>
      <c r="Q429"/>
      <c r="R429"/>
      <c r="S429"/>
      <c r="T429"/>
    </row>
    <row r="430" spans="15:20" x14ac:dyDescent="0.2">
      <c r="O430"/>
      <c r="P430"/>
      <c r="Q430"/>
      <c r="R430"/>
      <c r="S430"/>
      <c r="T430"/>
    </row>
    <row r="431" spans="15:20" x14ac:dyDescent="0.2">
      <c r="O431"/>
      <c r="P431"/>
      <c r="Q431"/>
      <c r="R431"/>
      <c r="S431"/>
      <c r="T431"/>
    </row>
    <row r="432" spans="15:20" x14ac:dyDescent="0.2">
      <c r="O432"/>
      <c r="P432"/>
      <c r="Q432"/>
      <c r="R432"/>
      <c r="S432"/>
      <c r="T432"/>
    </row>
    <row r="433" spans="15:20" x14ac:dyDescent="0.2">
      <c r="O433"/>
      <c r="P433"/>
      <c r="Q433"/>
      <c r="R433"/>
      <c r="S433"/>
      <c r="T433"/>
    </row>
    <row r="434" spans="15:20" x14ac:dyDescent="0.2">
      <c r="O434"/>
      <c r="P434"/>
      <c r="Q434"/>
      <c r="R434"/>
      <c r="S434"/>
      <c r="T434"/>
    </row>
    <row r="435" spans="15:20" x14ac:dyDescent="0.2">
      <c r="O435"/>
      <c r="P435"/>
      <c r="Q435"/>
      <c r="R435"/>
      <c r="S435"/>
      <c r="T435"/>
    </row>
    <row r="436" spans="15:20" x14ac:dyDescent="0.2">
      <c r="O436"/>
      <c r="P436"/>
      <c r="Q436"/>
      <c r="R436"/>
      <c r="S436"/>
      <c r="T436"/>
    </row>
    <row r="437" spans="15:20" x14ac:dyDescent="0.2">
      <c r="O437"/>
      <c r="P437"/>
      <c r="Q437"/>
      <c r="R437"/>
      <c r="S437"/>
      <c r="T437"/>
    </row>
    <row r="438" spans="15:20" x14ac:dyDescent="0.2">
      <c r="O438"/>
      <c r="P438"/>
      <c r="Q438"/>
      <c r="R438"/>
      <c r="S438"/>
      <c r="T438"/>
    </row>
    <row r="439" spans="15:20" x14ac:dyDescent="0.2">
      <c r="O439"/>
      <c r="P439"/>
      <c r="Q439"/>
      <c r="R439"/>
      <c r="S439"/>
      <c r="T439"/>
    </row>
    <row r="440" spans="15:20" x14ac:dyDescent="0.2">
      <c r="O440"/>
      <c r="P440"/>
      <c r="Q440"/>
      <c r="R440"/>
      <c r="S440"/>
      <c r="T440"/>
    </row>
    <row r="441" spans="15:20" x14ac:dyDescent="0.2">
      <c r="O441"/>
      <c r="P441"/>
      <c r="Q441"/>
      <c r="R441"/>
      <c r="S441"/>
      <c r="T441"/>
    </row>
    <row r="442" spans="15:20" x14ac:dyDescent="0.2">
      <c r="O442"/>
      <c r="P442"/>
      <c r="Q442"/>
      <c r="R442"/>
      <c r="S442"/>
      <c r="T442"/>
    </row>
    <row r="443" spans="15:20" x14ac:dyDescent="0.2">
      <c r="O443"/>
      <c r="P443"/>
      <c r="Q443"/>
      <c r="R443"/>
      <c r="S443"/>
      <c r="T443"/>
    </row>
    <row r="444" spans="15:20" x14ac:dyDescent="0.2">
      <c r="O444"/>
      <c r="P444"/>
      <c r="Q444"/>
      <c r="R444"/>
      <c r="S444"/>
      <c r="T444"/>
    </row>
    <row r="445" spans="15:20" x14ac:dyDescent="0.2">
      <c r="O445"/>
      <c r="P445"/>
      <c r="Q445"/>
      <c r="R445"/>
      <c r="S445"/>
      <c r="T445"/>
    </row>
    <row r="446" spans="15:20" x14ac:dyDescent="0.2">
      <c r="O446"/>
      <c r="P446"/>
      <c r="Q446"/>
      <c r="R446"/>
      <c r="S446"/>
      <c r="T446"/>
    </row>
    <row r="447" spans="15:20" x14ac:dyDescent="0.2">
      <c r="O447"/>
      <c r="P447"/>
      <c r="Q447"/>
      <c r="R447"/>
      <c r="S447"/>
      <c r="T447"/>
    </row>
    <row r="448" spans="15:20" x14ac:dyDescent="0.2">
      <c r="O448"/>
      <c r="P448"/>
      <c r="Q448"/>
      <c r="R448"/>
      <c r="S448"/>
      <c r="T448"/>
    </row>
    <row r="449" spans="15:20" x14ac:dyDescent="0.2">
      <c r="O449"/>
      <c r="P449"/>
      <c r="Q449"/>
      <c r="R449"/>
      <c r="S449"/>
      <c r="T449"/>
    </row>
    <row r="450" spans="15:20" x14ac:dyDescent="0.2">
      <c r="O450"/>
      <c r="P450"/>
      <c r="Q450"/>
      <c r="R450"/>
      <c r="S450"/>
      <c r="T450"/>
    </row>
    <row r="451" spans="15:20" x14ac:dyDescent="0.2">
      <c r="O451"/>
      <c r="P451"/>
      <c r="Q451"/>
      <c r="R451"/>
      <c r="S451"/>
      <c r="T451"/>
    </row>
    <row r="452" spans="15:20" x14ac:dyDescent="0.2">
      <c r="O452"/>
      <c r="P452"/>
      <c r="Q452"/>
      <c r="R452"/>
      <c r="S452"/>
      <c r="T452"/>
    </row>
    <row r="453" spans="15:20" x14ac:dyDescent="0.2">
      <c r="O453"/>
      <c r="P453"/>
      <c r="Q453"/>
      <c r="R453"/>
      <c r="S453"/>
      <c r="T453"/>
    </row>
    <row r="454" spans="15:20" x14ac:dyDescent="0.2">
      <c r="O454"/>
      <c r="P454"/>
      <c r="Q454"/>
      <c r="R454"/>
      <c r="S454"/>
      <c r="T454"/>
    </row>
    <row r="455" spans="15:20" x14ac:dyDescent="0.2">
      <c r="O455"/>
      <c r="P455"/>
      <c r="Q455"/>
      <c r="R455"/>
      <c r="S455"/>
      <c r="T455"/>
    </row>
    <row r="456" spans="15:20" x14ac:dyDescent="0.2">
      <c r="O456"/>
      <c r="P456"/>
      <c r="Q456"/>
      <c r="R456"/>
      <c r="S456"/>
      <c r="T456"/>
    </row>
    <row r="457" spans="15:20" x14ac:dyDescent="0.2">
      <c r="O457"/>
      <c r="P457"/>
      <c r="Q457"/>
      <c r="R457"/>
      <c r="S457"/>
      <c r="T457"/>
    </row>
    <row r="458" spans="15:20" x14ac:dyDescent="0.2">
      <c r="O458"/>
      <c r="P458"/>
      <c r="Q458"/>
      <c r="R458"/>
      <c r="S458"/>
      <c r="T458"/>
    </row>
    <row r="459" spans="15:20" x14ac:dyDescent="0.2">
      <c r="O459"/>
      <c r="P459"/>
      <c r="Q459"/>
      <c r="R459"/>
      <c r="S459"/>
      <c r="T459"/>
    </row>
    <row r="460" spans="15:20" x14ac:dyDescent="0.2">
      <c r="O460"/>
      <c r="P460"/>
      <c r="Q460"/>
      <c r="R460"/>
      <c r="S460"/>
      <c r="T460"/>
    </row>
    <row r="461" spans="15:20" x14ac:dyDescent="0.2">
      <c r="O461"/>
      <c r="P461"/>
      <c r="Q461"/>
      <c r="R461"/>
      <c r="S461"/>
      <c r="T461"/>
    </row>
    <row r="462" spans="15:20" x14ac:dyDescent="0.2">
      <c r="O462"/>
      <c r="P462"/>
      <c r="Q462"/>
      <c r="R462"/>
      <c r="S462"/>
      <c r="T462"/>
    </row>
    <row r="463" spans="15:20" x14ac:dyDescent="0.2">
      <c r="O463"/>
      <c r="P463"/>
      <c r="Q463"/>
      <c r="R463"/>
      <c r="S463"/>
      <c r="T463"/>
    </row>
    <row r="464" spans="15:20" x14ac:dyDescent="0.2">
      <c r="O464"/>
      <c r="P464"/>
      <c r="Q464"/>
      <c r="R464"/>
      <c r="S464"/>
      <c r="T464"/>
    </row>
    <row r="465" spans="15:20" x14ac:dyDescent="0.2">
      <c r="O465"/>
      <c r="P465"/>
      <c r="Q465"/>
      <c r="R465"/>
      <c r="S465"/>
      <c r="T465"/>
    </row>
    <row r="466" spans="15:20" x14ac:dyDescent="0.2">
      <c r="O466"/>
      <c r="P466"/>
      <c r="Q466"/>
      <c r="R466"/>
      <c r="S466"/>
      <c r="T466"/>
    </row>
    <row r="467" spans="15:20" x14ac:dyDescent="0.2">
      <c r="O467"/>
      <c r="P467"/>
      <c r="Q467"/>
      <c r="R467"/>
      <c r="S467"/>
      <c r="T467"/>
    </row>
    <row r="468" spans="15:20" x14ac:dyDescent="0.2">
      <c r="O468"/>
      <c r="P468"/>
      <c r="Q468"/>
      <c r="R468"/>
      <c r="S468"/>
      <c r="T468"/>
    </row>
    <row r="469" spans="15:20" x14ac:dyDescent="0.2">
      <c r="O469"/>
      <c r="P469"/>
      <c r="Q469"/>
      <c r="R469"/>
      <c r="S469"/>
      <c r="T469"/>
    </row>
    <row r="470" spans="15:20" x14ac:dyDescent="0.2">
      <c r="O470"/>
      <c r="P470"/>
      <c r="Q470"/>
      <c r="R470"/>
      <c r="S470"/>
      <c r="T470"/>
    </row>
    <row r="471" spans="15:20" x14ac:dyDescent="0.2">
      <c r="O471"/>
      <c r="P471"/>
      <c r="Q471"/>
      <c r="R471"/>
      <c r="S471"/>
      <c r="T471"/>
    </row>
    <row r="472" spans="15:20" x14ac:dyDescent="0.2">
      <c r="O472"/>
      <c r="P472"/>
      <c r="Q472"/>
      <c r="R472"/>
      <c r="S472"/>
      <c r="T472"/>
    </row>
    <row r="473" spans="15:20" x14ac:dyDescent="0.2">
      <c r="O473"/>
      <c r="P473"/>
      <c r="Q473"/>
      <c r="R473"/>
      <c r="S473"/>
      <c r="T473"/>
    </row>
    <row r="474" spans="15:20" x14ac:dyDescent="0.2">
      <c r="O474"/>
      <c r="P474"/>
      <c r="Q474"/>
      <c r="R474"/>
      <c r="S474"/>
      <c r="T474"/>
    </row>
    <row r="475" spans="15:20" x14ac:dyDescent="0.2">
      <c r="O475"/>
      <c r="P475"/>
      <c r="Q475"/>
      <c r="R475"/>
      <c r="S475"/>
      <c r="T475"/>
    </row>
    <row r="476" spans="15:20" x14ac:dyDescent="0.2">
      <c r="O476"/>
      <c r="P476"/>
      <c r="Q476"/>
      <c r="R476"/>
      <c r="S476"/>
      <c r="T476"/>
    </row>
    <row r="477" spans="15:20" x14ac:dyDescent="0.2">
      <c r="O477"/>
      <c r="P477"/>
      <c r="Q477"/>
      <c r="R477"/>
      <c r="S477"/>
      <c r="T477"/>
    </row>
    <row r="478" spans="15:20" x14ac:dyDescent="0.2">
      <c r="O478"/>
      <c r="P478"/>
      <c r="Q478"/>
      <c r="R478"/>
      <c r="S478"/>
      <c r="T478"/>
    </row>
    <row r="479" spans="15:20" x14ac:dyDescent="0.2">
      <c r="O479"/>
      <c r="P479"/>
      <c r="Q479"/>
      <c r="R479"/>
      <c r="S479"/>
      <c r="T479"/>
    </row>
    <row r="480" spans="15:20" x14ac:dyDescent="0.2">
      <c r="O480"/>
      <c r="P480"/>
      <c r="Q480"/>
      <c r="R480"/>
      <c r="S480"/>
      <c r="T480"/>
    </row>
    <row r="481" spans="15:20" x14ac:dyDescent="0.2">
      <c r="O481"/>
      <c r="P481"/>
      <c r="Q481"/>
      <c r="R481"/>
      <c r="S481"/>
      <c r="T481"/>
    </row>
    <row r="482" spans="15:20" x14ac:dyDescent="0.2">
      <c r="O482"/>
      <c r="P482"/>
      <c r="Q482"/>
      <c r="R482"/>
      <c r="S482"/>
      <c r="T482"/>
    </row>
    <row r="483" spans="15:20" x14ac:dyDescent="0.2">
      <c r="O483"/>
      <c r="P483"/>
      <c r="Q483"/>
      <c r="R483"/>
      <c r="S483"/>
      <c r="T483"/>
    </row>
    <row r="484" spans="15:20" x14ac:dyDescent="0.2">
      <c r="O484"/>
      <c r="P484"/>
      <c r="Q484"/>
      <c r="R484"/>
      <c r="S484"/>
      <c r="T484"/>
    </row>
    <row r="485" spans="15:20" x14ac:dyDescent="0.2">
      <c r="O485"/>
      <c r="P485"/>
      <c r="Q485"/>
      <c r="R485"/>
      <c r="S485"/>
      <c r="T485"/>
    </row>
    <row r="486" spans="15:20" x14ac:dyDescent="0.2">
      <c r="O486"/>
      <c r="P486"/>
      <c r="Q486"/>
      <c r="R486"/>
      <c r="S486"/>
      <c r="T486"/>
    </row>
    <row r="487" spans="15:20" x14ac:dyDescent="0.2">
      <c r="O487"/>
      <c r="P487"/>
      <c r="Q487"/>
      <c r="R487"/>
      <c r="S487"/>
      <c r="T487"/>
    </row>
    <row r="488" spans="15:20" x14ac:dyDescent="0.2">
      <c r="O488"/>
      <c r="P488"/>
      <c r="Q488"/>
      <c r="R488"/>
      <c r="S488"/>
      <c r="T488"/>
    </row>
    <row r="489" spans="15:20" x14ac:dyDescent="0.2">
      <c r="O489"/>
      <c r="P489"/>
      <c r="Q489"/>
      <c r="R489"/>
      <c r="S489"/>
      <c r="T489"/>
    </row>
    <row r="490" spans="15:20" x14ac:dyDescent="0.2">
      <c r="O490"/>
      <c r="P490"/>
      <c r="Q490"/>
      <c r="R490"/>
      <c r="S490"/>
      <c r="T490"/>
    </row>
    <row r="491" spans="15:20" x14ac:dyDescent="0.2">
      <c r="O491"/>
      <c r="P491"/>
      <c r="Q491"/>
      <c r="R491"/>
      <c r="S491"/>
      <c r="T491"/>
    </row>
    <row r="492" spans="15:20" x14ac:dyDescent="0.2">
      <c r="O492"/>
      <c r="P492"/>
      <c r="Q492"/>
      <c r="R492"/>
      <c r="S492"/>
      <c r="T492"/>
    </row>
    <row r="493" spans="15:20" x14ac:dyDescent="0.2">
      <c r="O493"/>
      <c r="P493"/>
      <c r="Q493"/>
      <c r="R493"/>
      <c r="S493"/>
      <c r="T493"/>
    </row>
    <row r="494" spans="15:20" x14ac:dyDescent="0.2">
      <c r="O494"/>
      <c r="P494"/>
      <c r="Q494"/>
      <c r="R494"/>
      <c r="S494"/>
      <c r="T494"/>
    </row>
    <row r="495" spans="15:20" x14ac:dyDescent="0.2">
      <c r="O495"/>
      <c r="P495"/>
      <c r="Q495"/>
      <c r="R495"/>
      <c r="S495"/>
      <c r="T495"/>
    </row>
    <row r="496" spans="15:20" x14ac:dyDescent="0.2">
      <c r="O496"/>
      <c r="P496"/>
      <c r="Q496"/>
      <c r="R496"/>
      <c r="S496"/>
      <c r="T496"/>
    </row>
    <row r="497" spans="15:20" x14ac:dyDescent="0.2">
      <c r="O497"/>
      <c r="P497"/>
      <c r="Q497"/>
      <c r="R497"/>
      <c r="S497"/>
      <c r="T497"/>
    </row>
    <row r="498" spans="15:20" x14ac:dyDescent="0.2">
      <c r="O498"/>
      <c r="P498"/>
      <c r="Q498"/>
      <c r="R498"/>
      <c r="S498"/>
      <c r="T498"/>
    </row>
    <row r="499" spans="15:20" x14ac:dyDescent="0.2">
      <c r="O499"/>
      <c r="P499"/>
      <c r="Q499"/>
      <c r="R499"/>
      <c r="S499"/>
      <c r="T499"/>
    </row>
    <row r="500" spans="15:20" x14ac:dyDescent="0.2">
      <c r="O500"/>
      <c r="P500"/>
      <c r="Q500"/>
      <c r="R500"/>
      <c r="S500"/>
      <c r="T500"/>
    </row>
    <row r="501" spans="15:20" x14ac:dyDescent="0.2">
      <c r="O501"/>
      <c r="P501"/>
      <c r="Q501"/>
      <c r="R501"/>
      <c r="S501"/>
      <c r="T501"/>
    </row>
    <row r="502" spans="15:20" x14ac:dyDescent="0.2">
      <c r="O502"/>
      <c r="P502"/>
      <c r="Q502"/>
      <c r="R502"/>
      <c r="S502"/>
      <c r="T502"/>
    </row>
    <row r="503" spans="15:20" x14ac:dyDescent="0.2">
      <c r="O503"/>
      <c r="P503"/>
      <c r="Q503"/>
      <c r="R503"/>
      <c r="S503"/>
      <c r="T503"/>
    </row>
    <row r="504" spans="15:20" x14ac:dyDescent="0.2">
      <c r="O504"/>
      <c r="P504"/>
      <c r="Q504"/>
      <c r="R504"/>
      <c r="S504"/>
      <c r="T504"/>
    </row>
    <row r="505" spans="15:20" x14ac:dyDescent="0.2">
      <c r="O505"/>
      <c r="P505"/>
      <c r="Q505"/>
      <c r="R505"/>
      <c r="S505"/>
      <c r="T505"/>
    </row>
    <row r="506" spans="15:20" x14ac:dyDescent="0.2">
      <c r="O506"/>
      <c r="P506"/>
      <c r="Q506"/>
      <c r="R506"/>
      <c r="S506"/>
      <c r="T506"/>
    </row>
    <row r="507" spans="15:20" x14ac:dyDescent="0.2">
      <c r="O507"/>
      <c r="P507"/>
      <c r="Q507"/>
      <c r="R507"/>
      <c r="S507"/>
      <c r="T507"/>
    </row>
    <row r="508" spans="15:20" x14ac:dyDescent="0.2">
      <c r="O508"/>
      <c r="P508"/>
      <c r="Q508"/>
      <c r="R508"/>
      <c r="S508"/>
      <c r="T508"/>
    </row>
    <row r="509" spans="15:20" x14ac:dyDescent="0.2">
      <c r="O509"/>
      <c r="P509"/>
      <c r="Q509"/>
      <c r="R509"/>
      <c r="S509"/>
      <c r="T509"/>
    </row>
    <row r="510" spans="15:20" x14ac:dyDescent="0.2">
      <c r="O510"/>
      <c r="P510"/>
      <c r="Q510"/>
      <c r="R510"/>
      <c r="S510"/>
      <c r="T510"/>
    </row>
    <row r="511" spans="15:20" x14ac:dyDescent="0.2">
      <c r="O511"/>
      <c r="P511"/>
      <c r="Q511"/>
      <c r="R511"/>
      <c r="S511"/>
      <c r="T511"/>
    </row>
    <row r="512" spans="15:20" x14ac:dyDescent="0.2">
      <c r="O512"/>
      <c r="P512"/>
      <c r="Q512"/>
      <c r="R512"/>
      <c r="S512"/>
      <c r="T512"/>
    </row>
    <row r="513" spans="15:20" x14ac:dyDescent="0.2">
      <c r="O513"/>
      <c r="P513"/>
      <c r="Q513"/>
      <c r="R513"/>
      <c r="S513"/>
      <c r="T513"/>
    </row>
    <row r="514" spans="15:20" x14ac:dyDescent="0.2">
      <c r="O514"/>
      <c r="P514"/>
      <c r="Q514"/>
      <c r="R514"/>
      <c r="S514"/>
      <c r="T514"/>
    </row>
    <row r="515" spans="15:20" x14ac:dyDescent="0.2">
      <c r="O515"/>
      <c r="P515"/>
      <c r="Q515"/>
      <c r="R515"/>
      <c r="S515"/>
      <c r="T515"/>
    </row>
    <row r="516" spans="15:20" x14ac:dyDescent="0.2">
      <c r="O516"/>
      <c r="P516"/>
      <c r="Q516"/>
      <c r="R516"/>
      <c r="S516"/>
      <c r="T516"/>
    </row>
    <row r="517" spans="15:20" x14ac:dyDescent="0.2">
      <c r="O517"/>
      <c r="P517"/>
      <c r="Q517"/>
      <c r="R517"/>
      <c r="S517"/>
      <c r="T517"/>
    </row>
    <row r="518" spans="15:20" x14ac:dyDescent="0.2">
      <c r="O518"/>
      <c r="P518"/>
      <c r="Q518"/>
      <c r="R518"/>
      <c r="S518"/>
      <c r="T518"/>
    </row>
    <row r="519" spans="15:20" x14ac:dyDescent="0.2">
      <c r="O519"/>
      <c r="P519"/>
      <c r="Q519"/>
      <c r="R519"/>
      <c r="S519"/>
      <c r="T519"/>
    </row>
    <row r="520" spans="15:20" x14ac:dyDescent="0.2">
      <c r="O520"/>
      <c r="P520"/>
      <c r="Q520"/>
      <c r="R520"/>
      <c r="S520"/>
      <c r="T520"/>
    </row>
    <row r="521" spans="15:20" x14ac:dyDescent="0.2">
      <c r="O521"/>
      <c r="P521"/>
      <c r="Q521"/>
      <c r="R521"/>
      <c r="S521"/>
      <c r="T521"/>
    </row>
    <row r="522" spans="15:20" x14ac:dyDescent="0.2">
      <c r="O522"/>
      <c r="P522"/>
      <c r="Q522"/>
      <c r="R522"/>
      <c r="S522"/>
      <c r="T522"/>
    </row>
    <row r="523" spans="15:20" x14ac:dyDescent="0.2">
      <c r="O523"/>
      <c r="P523"/>
      <c r="Q523"/>
      <c r="R523"/>
      <c r="S523"/>
      <c r="T523"/>
    </row>
    <row r="524" spans="15:20" x14ac:dyDescent="0.2">
      <c r="O524"/>
      <c r="P524"/>
      <c r="Q524"/>
      <c r="R524"/>
      <c r="S524"/>
      <c r="T524"/>
    </row>
    <row r="525" spans="15:20" x14ac:dyDescent="0.2">
      <c r="O525"/>
      <c r="P525"/>
      <c r="Q525"/>
      <c r="R525"/>
      <c r="S525"/>
      <c r="T525"/>
    </row>
    <row r="526" spans="15:20" x14ac:dyDescent="0.2">
      <c r="O526"/>
      <c r="P526"/>
      <c r="Q526"/>
      <c r="R526"/>
      <c r="S526"/>
      <c r="T526"/>
    </row>
    <row r="527" spans="15:20" x14ac:dyDescent="0.2">
      <c r="O527"/>
      <c r="P527"/>
      <c r="Q527"/>
      <c r="R527"/>
      <c r="S527"/>
      <c r="T527"/>
    </row>
    <row r="528" spans="15:20" x14ac:dyDescent="0.2">
      <c r="O528"/>
      <c r="P528"/>
      <c r="Q528"/>
      <c r="R528"/>
      <c r="S528"/>
      <c r="T528"/>
    </row>
    <row r="529" spans="15:20" x14ac:dyDescent="0.2">
      <c r="O529"/>
      <c r="P529"/>
      <c r="Q529"/>
      <c r="R529"/>
      <c r="S529"/>
      <c r="T529"/>
    </row>
    <row r="530" spans="15:20" x14ac:dyDescent="0.2">
      <c r="O530"/>
      <c r="P530"/>
      <c r="Q530"/>
      <c r="R530"/>
      <c r="S530"/>
      <c r="T530"/>
    </row>
    <row r="531" spans="15:20" x14ac:dyDescent="0.2">
      <c r="O531"/>
      <c r="P531"/>
      <c r="Q531"/>
      <c r="R531"/>
      <c r="S531"/>
      <c r="T531"/>
    </row>
    <row r="532" spans="15:20" x14ac:dyDescent="0.2">
      <c r="O532"/>
      <c r="P532"/>
      <c r="Q532"/>
      <c r="R532"/>
      <c r="S532"/>
      <c r="T532"/>
    </row>
    <row r="533" spans="15:20" x14ac:dyDescent="0.2">
      <c r="O533"/>
      <c r="P533"/>
      <c r="Q533"/>
      <c r="R533"/>
      <c r="S533"/>
      <c r="T533"/>
    </row>
    <row r="534" spans="15:20" x14ac:dyDescent="0.2">
      <c r="O534"/>
      <c r="P534"/>
      <c r="Q534"/>
      <c r="R534"/>
      <c r="S534"/>
      <c r="T534"/>
    </row>
    <row r="535" spans="15:20" x14ac:dyDescent="0.2">
      <c r="O535"/>
      <c r="P535"/>
      <c r="Q535"/>
      <c r="R535"/>
      <c r="S535"/>
      <c r="T535"/>
    </row>
    <row r="536" spans="15:20" x14ac:dyDescent="0.2">
      <c r="O536"/>
      <c r="P536"/>
      <c r="Q536"/>
      <c r="R536"/>
      <c r="S536"/>
      <c r="T536"/>
    </row>
    <row r="537" spans="15:20" x14ac:dyDescent="0.2">
      <c r="O537"/>
      <c r="P537"/>
      <c r="Q537"/>
      <c r="R537"/>
      <c r="S537"/>
      <c r="T537"/>
    </row>
    <row r="538" spans="15:20" x14ac:dyDescent="0.2">
      <c r="O538"/>
      <c r="P538"/>
      <c r="Q538"/>
      <c r="R538"/>
      <c r="S538"/>
      <c r="T538"/>
    </row>
    <row r="539" spans="15:20" x14ac:dyDescent="0.2">
      <c r="O539"/>
      <c r="P539"/>
      <c r="Q539"/>
      <c r="R539"/>
      <c r="S539"/>
      <c r="T539"/>
    </row>
    <row r="540" spans="15:20" x14ac:dyDescent="0.2">
      <c r="O540"/>
      <c r="P540"/>
      <c r="Q540"/>
      <c r="R540"/>
      <c r="S540"/>
      <c r="T540"/>
    </row>
    <row r="541" spans="15:20" x14ac:dyDescent="0.2">
      <c r="O541"/>
      <c r="P541"/>
      <c r="Q541"/>
      <c r="R541"/>
      <c r="S541"/>
      <c r="T541"/>
    </row>
    <row r="542" spans="15:20" x14ac:dyDescent="0.2">
      <c r="O542"/>
      <c r="P542"/>
      <c r="Q542"/>
      <c r="R542"/>
      <c r="S542"/>
      <c r="T542"/>
    </row>
    <row r="543" spans="15:20" x14ac:dyDescent="0.2">
      <c r="O543"/>
      <c r="P543"/>
      <c r="Q543"/>
      <c r="R543"/>
      <c r="S543"/>
      <c r="T543"/>
    </row>
    <row r="544" spans="15:20" x14ac:dyDescent="0.2">
      <c r="O544"/>
      <c r="P544"/>
      <c r="Q544"/>
      <c r="R544"/>
      <c r="S544"/>
      <c r="T544"/>
    </row>
    <row r="545" spans="15:20" x14ac:dyDescent="0.2">
      <c r="O545"/>
      <c r="P545"/>
      <c r="Q545"/>
      <c r="R545"/>
      <c r="S545"/>
      <c r="T545"/>
    </row>
    <row r="546" spans="15:20" x14ac:dyDescent="0.2">
      <c r="O546"/>
      <c r="P546"/>
      <c r="Q546"/>
      <c r="R546"/>
      <c r="S546"/>
      <c r="T546"/>
    </row>
    <row r="547" spans="15:20" x14ac:dyDescent="0.2">
      <c r="O547"/>
      <c r="P547"/>
      <c r="Q547"/>
      <c r="R547"/>
      <c r="S547"/>
      <c r="T547"/>
    </row>
    <row r="548" spans="15:20" x14ac:dyDescent="0.2">
      <c r="O548"/>
      <c r="P548"/>
      <c r="Q548"/>
      <c r="R548"/>
      <c r="S548"/>
      <c r="T548"/>
    </row>
    <row r="549" spans="15:20" x14ac:dyDescent="0.2">
      <c r="O549"/>
      <c r="P549"/>
      <c r="Q549"/>
      <c r="R549"/>
      <c r="S549"/>
      <c r="T549"/>
    </row>
    <row r="550" spans="15:20" x14ac:dyDescent="0.2">
      <c r="O550"/>
      <c r="P550"/>
      <c r="Q550"/>
      <c r="R550"/>
      <c r="S550"/>
      <c r="T550"/>
    </row>
    <row r="551" spans="15:20" x14ac:dyDescent="0.2">
      <c r="O551"/>
      <c r="P551"/>
      <c r="Q551"/>
      <c r="R551"/>
      <c r="S551"/>
      <c r="T551"/>
    </row>
    <row r="552" spans="15:20" x14ac:dyDescent="0.2">
      <c r="O552"/>
      <c r="P552"/>
      <c r="Q552"/>
      <c r="R552"/>
      <c r="S552"/>
      <c r="T552"/>
    </row>
    <row r="553" spans="15:20" x14ac:dyDescent="0.2">
      <c r="O553"/>
      <c r="P553"/>
      <c r="Q553"/>
      <c r="R553"/>
      <c r="S553"/>
      <c r="T553"/>
    </row>
    <row r="554" spans="15:20" x14ac:dyDescent="0.2">
      <c r="O554"/>
      <c r="P554"/>
      <c r="Q554"/>
      <c r="R554"/>
      <c r="S554"/>
      <c r="T554"/>
    </row>
    <row r="555" spans="15:20" x14ac:dyDescent="0.2">
      <c r="O555"/>
      <c r="P555"/>
      <c r="Q555"/>
      <c r="R555"/>
      <c r="S555"/>
      <c r="T555"/>
    </row>
    <row r="556" spans="15:20" x14ac:dyDescent="0.2">
      <c r="O556"/>
      <c r="P556"/>
      <c r="Q556"/>
      <c r="R556"/>
      <c r="S556"/>
      <c r="T556"/>
    </row>
    <row r="557" spans="15:20" x14ac:dyDescent="0.2">
      <c r="O557"/>
      <c r="P557"/>
      <c r="Q557"/>
      <c r="R557"/>
      <c r="S557"/>
      <c r="T557"/>
    </row>
    <row r="558" spans="15:20" x14ac:dyDescent="0.2">
      <c r="O558"/>
      <c r="P558"/>
      <c r="Q558"/>
      <c r="R558"/>
      <c r="S558"/>
      <c r="T558"/>
    </row>
    <row r="559" spans="15:20" x14ac:dyDescent="0.2">
      <c r="O559"/>
      <c r="P559"/>
      <c r="Q559"/>
      <c r="R559"/>
      <c r="S559"/>
      <c r="T559"/>
    </row>
    <row r="560" spans="15:20" x14ac:dyDescent="0.2">
      <c r="O560"/>
      <c r="P560"/>
      <c r="Q560"/>
      <c r="R560"/>
      <c r="S560"/>
      <c r="T560"/>
    </row>
    <row r="561" spans="15:20" x14ac:dyDescent="0.2">
      <c r="O561"/>
      <c r="P561"/>
      <c r="Q561"/>
      <c r="R561"/>
      <c r="S561"/>
      <c r="T561"/>
    </row>
    <row r="562" spans="15:20" x14ac:dyDescent="0.2">
      <c r="O562"/>
      <c r="P562"/>
      <c r="Q562"/>
      <c r="R562"/>
      <c r="S562"/>
      <c r="T562"/>
    </row>
    <row r="563" spans="15:20" x14ac:dyDescent="0.2">
      <c r="O563"/>
      <c r="P563"/>
      <c r="Q563"/>
      <c r="R563"/>
      <c r="S563"/>
      <c r="T563"/>
    </row>
    <row r="564" spans="15:20" x14ac:dyDescent="0.2">
      <c r="O564"/>
      <c r="P564"/>
      <c r="Q564"/>
      <c r="R564"/>
      <c r="S564"/>
      <c r="T564"/>
    </row>
    <row r="565" spans="15:20" x14ac:dyDescent="0.2">
      <c r="O565"/>
      <c r="P565"/>
      <c r="Q565"/>
      <c r="R565"/>
      <c r="S565"/>
      <c r="T565"/>
    </row>
    <row r="566" spans="15:20" x14ac:dyDescent="0.2">
      <c r="O566"/>
      <c r="P566"/>
      <c r="Q566"/>
      <c r="R566"/>
      <c r="S566"/>
      <c r="T566"/>
    </row>
    <row r="567" spans="15:20" x14ac:dyDescent="0.2">
      <c r="O567"/>
      <c r="P567"/>
      <c r="Q567"/>
      <c r="R567"/>
      <c r="S567"/>
      <c r="T567"/>
    </row>
    <row r="568" spans="15:20" x14ac:dyDescent="0.2">
      <c r="O568"/>
      <c r="P568"/>
      <c r="Q568"/>
      <c r="R568"/>
      <c r="S568"/>
      <c r="T568"/>
    </row>
    <row r="569" spans="15:20" x14ac:dyDescent="0.2">
      <c r="O569"/>
      <c r="P569"/>
      <c r="Q569"/>
      <c r="R569"/>
      <c r="S569"/>
      <c r="T569"/>
    </row>
    <row r="570" spans="15:20" x14ac:dyDescent="0.2">
      <c r="O570"/>
      <c r="P570"/>
      <c r="Q570"/>
      <c r="R570"/>
      <c r="S570"/>
      <c r="T570"/>
    </row>
    <row r="571" spans="15:20" x14ac:dyDescent="0.2">
      <c r="O571"/>
      <c r="P571"/>
      <c r="Q571"/>
      <c r="R571"/>
      <c r="S571"/>
      <c r="T571"/>
    </row>
    <row r="572" spans="15:20" x14ac:dyDescent="0.2">
      <c r="O572"/>
      <c r="P572"/>
      <c r="Q572"/>
      <c r="R572"/>
      <c r="S572"/>
      <c r="T572"/>
    </row>
    <row r="573" spans="15:20" x14ac:dyDescent="0.2">
      <c r="O573"/>
      <c r="P573"/>
      <c r="Q573"/>
      <c r="R573"/>
      <c r="S573"/>
      <c r="T573"/>
    </row>
    <row r="574" spans="15:20" x14ac:dyDescent="0.2">
      <c r="O574"/>
      <c r="P574"/>
      <c r="Q574"/>
      <c r="R574"/>
      <c r="S574"/>
      <c r="T574"/>
    </row>
    <row r="575" spans="15:20" x14ac:dyDescent="0.2">
      <c r="O575"/>
      <c r="P575"/>
      <c r="Q575"/>
      <c r="R575"/>
      <c r="S575"/>
      <c r="T575"/>
    </row>
    <row r="576" spans="15:20" x14ac:dyDescent="0.2">
      <c r="O576"/>
      <c r="P576"/>
      <c r="Q576"/>
      <c r="R576"/>
      <c r="S576"/>
      <c r="T576"/>
    </row>
    <row r="577" spans="15:20" x14ac:dyDescent="0.2">
      <c r="O577"/>
      <c r="P577"/>
      <c r="Q577"/>
      <c r="R577"/>
      <c r="S577"/>
      <c r="T577"/>
    </row>
    <row r="578" spans="15:20" x14ac:dyDescent="0.2">
      <c r="O578"/>
      <c r="P578"/>
      <c r="Q578"/>
      <c r="R578"/>
      <c r="S578"/>
      <c r="T578"/>
    </row>
    <row r="579" spans="15:20" x14ac:dyDescent="0.2">
      <c r="O579"/>
      <c r="P579"/>
      <c r="Q579"/>
      <c r="R579"/>
      <c r="S579"/>
      <c r="T579"/>
    </row>
    <row r="580" spans="15:20" x14ac:dyDescent="0.2">
      <c r="O580"/>
      <c r="P580"/>
      <c r="Q580"/>
      <c r="R580"/>
      <c r="S580"/>
      <c r="T580"/>
    </row>
    <row r="581" spans="15:20" x14ac:dyDescent="0.2">
      <c r="O581"/>
      <c r="P581"/>
      <c r="Q581"/>
      <c r="R581"/>
      <c r="S581"/>
      <c r="T581"/>
    </row>
    <row r="582" spans="15:20" x14ac:dyDescent="0.2">
      <c r="O582"/>
      <c r="P582"/>
      <c r="Q582"/>
      <c r="R582"/>
      <c r="S582"/>
      <c r="T582"/>
    </row>
    <row r="583" spans="15:20" x14ac:dyDescent="0.2">
      <c r="O583"/>
      <c r="P583"/>
      <c r="Q583"/>
      <c r="R583"/>
      <c r="S583"/>
      <c r="T583"/>
    </row>
    <row r="584" spans="15:20" x14ac:dyDescent="0.2">
      <c r="O584"/>
      <c r="P584"/>
      <c r="Q584"/>
      <c r="R584"/>
      <c r="S584"/>
      <c r="T584"/>
    </row>
    <row r="585" spans="15:20" x14ac:dyDescent="0.2">
      <c r="O585"/>
      <c r="P585"/>
      <c r="Q585"/>
      <c r="R585"/>
      <c r="S585"/>
      <c r="T585"/>
    </row>
    <row r="586" spans="15:20" x14ac:dyDescent="0.2">
      <c r="O586"/>
      <c r="P586"/>
      <c r="Q586"/>
      <c r="R586"/>
      <c r="S586"/>
      <c r="T586"/>
    </row>
    <row r="587" spans="15:20" x14ac:dyDescent="0.2">
      <c r="O587"/>
      <c r="P587"/>
      <c r="Q587"/>
      <c r="R587"/>
      <c r="S587"/>
      <c r="T587"/>
    </row>
    <row r="588" spans="15:20" x14ac:dyDescent="0.2">
      <c r="O588"/>
      <c r="P588"/>
      <c r="Q588"/>
      <c r="R588"/>
      <c r="S588"/>
      <c r="T588"/>
    </row>
    <row r="589" spans="15:20" x14ac:dyDescent="0.2">
      <c r="O589"/>
      <c r="P589"/>
      <c r="Q589"/>
      <c r="R589"/>
      <c r="S589"/>
      <c r="T589"/>
    </row>
    <row r="590" spans="15:20" x14ac:dyDescent="0.2">
      <c r="O590"/>
      <c r="P590"/>
      <c r="Q590"/>
      <c r="R590"/>
      <c r="S590"/>
      <c r="T590"/>
    </row>
    <row r="591" spans="15:20" x14ac:dyDescent="0.2">
      <c r="O591"/>
      <c r="P591"/>
      <c r="Q591"/>
      <c r="R591"/>
      <c r="S591"/>
      <c r="T591"/>
    </row>
    <row r="592" spans="15:20" x14ac:dyDescent="0.2">
      <c r="O592"/>
      <c r="P592"/>
      <c r="Q592"/>
      <c r="R592"/>
      <c r="S592"/>
      <c r="T592"/>
    </row>
    <row r="593" spans="15:20" x14ac:dyDescent="0.2">
      <c r="O593"/>
      <c r="P593"/>
      <c r="Q593"/>
      <c r="R593"/>
      <c r="S593"/>
      <c r="T593"/>
    </row>
    <row r="594" spans="15:20" x14ac:dyDescent="0.2">
      <c r="O594"/>
      <c r="P594"/>
      <c r="Q594"/>
      <c r="R594"/>
      <c r="S594"/>
      <c r="T594"/>
    </row>
    <row r="595" spans="15:20" x14ac:dyDescent="0.2">
      <c r="O595"/>
      <c r="P595"/>
      <c r="Q595"/>
      <c r="R595"/>
      <c r="S595"/>
      <c r="T595"/>
    </row>
    <row r="596" spans="15:20" x14ac:dyDescent="0.2">
      <c r="O596"/>
      <c r="P596"/>
      <c r="Q596"/>
      <c r="R596"/>
      <c r="S596"/>
      <c r="T596"/>
    </row>
    <row r="597" spans="15:20" x14ac:dyDescent="0.2">
      <c r="O597"/>
      <c r="P597"/>
      <c r="Q597"/>
      <c r="R597"/>
      <c r="S597"/>
      <c r="T597"/>
    </row>
    <row r="598" spans="15:20" x14ac:dyDescent="0.2">
      <c r="O598"/>
      <c r="P598"/>
      <c r="Q598"/>
      <c r="R598"/>
      <c r="S598"/>
      <c r="T598"/>
    </row>
    <row r="599" spans="15:20" x14ac:dyDescent="0.2">
      <c r="O599"/>
      <c r="P599"/>
      <c r="Q599"/>
      <c r="R599"/>
      <c r="S599"/>
      <c r="T599"/>
    </row>
    <row r="600" spans="15:20" x14ac:dyDescent="0.2">
      <c r="O600"/>
      <c r="P600"/>
      <c r="Q600"/>
      <c r="R600"/>
      <c r="S600"/>
      <c r="T600"/>
    </row>
    <row r="601" spans="15:20" x14ac:dyDescent="0.2">
      <c r="O601"/>
      <c r="P601"/>
      <c r="Q601"/>
      <c r="R601"/>
      <c r="S601"/>
      <c r="T601"/>
    </row>
    <row r="602" spans="15:20" x14ac:dyDescent="0.2">
      <c r="O602"/>
      <c r="P602"/>
      <c r="Q602"/>
      <c r="R602"/>
      <c r="S602"/>
      <c r="T602"/>
    </row>
    <row r="603" spans="15:20" x14ac:dyDescent="0.2">
      <c r="O603"/>
      <c r="P603"/>
      <c r="Q603"/>
      <c r="R603"/>
      <c r="S603"/>
      <c r="T603"/>
    </row>
    <row r="604" spans="15:20" x14ac:dyDescent="0.2">
      <c r="O604"/>
      <c r="P604"/>
      <c r="Q604"/>
      <c r="R604"/>
      <c r="S604"/>
      <c r="T604"/>
    </row>
    <row r="605" spans="15:20" x14ac:dyDescent="0.2">
      <c r="O605"/>
      <c r="P605"/>
      <c r="Q605"/>
      <c r="R605"/>
      <c r="S605"/>
      <c r="T605"/>
    </row>
    <row r="606" spans="15:20" x14ac:dyDescent="0.2">
      <c r="O606"/>
      <c r="P606"/>
      <c r="Q606"/>
      <c r="R606"/>
      <c r="S606"/>
      <c r="T606"/>
    </row>
    <row r="607" spans="15:20" x14ac:dyDescent="0.2">
      <c r="O607"/>
      <c r="P607"/>
      <c r="Q607"/>
      <c r="R607"/>
      <c r="S607"/>
      <c r="T607"/>
    </row>
    <row r="608" spans="15:20" x14ac:dyDescent="0.2">
      <c r="O608"/>
      <c r="P608"/>
      <c r="Q608"/>
      <c r="R608"/>
      <c r="S608"/>
      <c r="T608"/>
    </row>
    <row r="609" spans="15:20" x14ac:dyDescent="0.2">
      <c r="O609"/>
      <c r="P609"/>
      <c r="Q609"/>
      <c r="R609"/>
      <c r="S609"/>
      <c r="T609"/>
    </row>
    <row r="610" spans="15:20" x14ac:dyDescent="0.2">
      <c r="O610"/>
      <c r="P610"/>
      <c r="Q610"/>
      <c r="R610"/>
      <c r="S610"/>
      <c r="T610"/>
    </row>
    <row r="611" spans="15:20" x14ac:dyDescent="0.2">
      <c r="O611"/>
      <c r="P611"/>
      <c r="Q611"/>
      <c r="R611"/>
      <c r="S611"/>
      <c r="T611"/>
    </row>
    <row r="612" spans="15:20" x14ac:dyDescent="0.2">
      <c r="O612"/>
      <c r="P612"/>
      <c r="Q612"/>
      <c r="R612"/>
      <c r="S612"/>
      <c r="T612"/>
    </row>
    <row r="613" spans="15:20" x14ac:dyDescent="0.2">
      <c r="O613"/>
      <c r="P613"/>
      <c r="Q613"/>
      <c r="R613"/>
      <c r="S613"/>
      <c r="T613"/>
    </row>
    <row r="614" spans="15:20" x14ac:dyDescent="0.2">
      <c r="O614"/>
      <c r="P614"/>
      <c r="Q614"/>
      <c r="R614"/>
      <c r="S614"/>
      <c r="T614"/>
    </row>
    <row r="615" spans="15:20" x14ac:dyDescent="0.2">
      <c r="O615"/>
      <c r="P615"/>
      <c r="Q615"/>
      <c r="R615"/>
      <c r="S615"/>
      <c r="T615"/>
    </row>
    <row r="616" spans="15:20" x14ac:dyDescent="0.2">
      <c r="O616"/>
      <c r="P616"/>
      <c r="Q616"/>
      <c r="R616"/>
      <c r="S616"/>
      <c r="T616"/>
    </row>
    <row r="617" spans="15:20" x14ac:dyDescent="0.2">
      <c r="O617"/>
      <c r="P617"/>
      <c r="Q617"/>
      <c r="R617"/>
      <c r="S617"/>
      <c r="T617"/>
    </row>
    <row r="618" spans="15:20" x14ac:dyDescent="0.2">
      <c r="O618"/>
      <c r="P618"/>
      <c r="Q618"/>
      <c r="R618"/>
      <c r="S618"/>
      <c r="T618"/>
    </row>
    <row r="619" spans="15:20" x14ac:dyDescent="0.2">
      <c r="O619"/>
      <c r="P619"/>
      <c r="Q619"/>
      <c r="R619"/>
      <c r="S619"/>
      <c r="T619"/>
    </row>
    <row r="620" spans="15:20" x14ac:dyDescent="0.2">
      <c r="O620"/>
      <c r="P620"/>
      <c r="Q620"/>
      <c r="R620"/>
      <c r="S620"/>
      <c r="T620"/>
    </row>
    <row r="621" spans="15:20" x14ac:dyDescent="0.2">
      <c r="O621"/>
      <c r="P621"/>
      <c r="Q621"/>
      <c r="R621"/>
      <c r="S621"/>
      <c r="T621"/>
    </row>
    <row r="622" spans="15:20" x14ac:dyDescent="0.2">
      <c r="O622"/>
      <c r="P622"/>
      <c r="Q622"/>
      <c r="R622"/>
      <c r="S622"/>
      <c r="T622"/>
    </row>
    <row r="623" spans="15:20" x14ac:dyDescent="0.2">
      <c r="O623"/>
      <c r="P623"/>
      <c r="Q623"/>
      <c r="R623"/>
      <c r="S623"/>
      <c r="T623"/>
    </row>
    <row r="624" spans="15:20" x14ac:dyDescent="0.2">
      <c r="O624"/>
      <c r="P624"/>
      <c r="Q624"/>
      <c r="R624"/>
      <c r="S624"/>
      <c r="T624"/>
    </row>
    <row r="625" spans="15:20" x14ac:dyDescent="0.2">
      <c r="O625"/>
      <c r="P625"/>
      <c r="Q625"/>
      <c r="R625"/>
      <c r="S625"/>
      <c r="T625"/>
    </row>
    <row r="626" spans="15:20" x14ac:dyDescent="0.2">
      <c r="O626"/>
      <c r="P626"/>
      <c r="Q626"/>
      <c r="R626"/>
      <c r="S626"/>
      <c r="T626"/>
    </row>
    <row r="627" spans="15:20" x14ac:dyDescent="0.2">
      <c r="O627"/>
      <c r="P627"/>
      <c r="Q627"/>
      <c r="R627"/>
      <c r="S627"/>
      <c r="T627"/>
    </row>
    <row r="628" spans="15:20" x14ac:dyDescent="0.2">
      <c r="O628"/>
      <c r="P628"/>
      <c r="Q628"/>
      <c r="R628"/>
      <c r="S628"/>
      <c r="T628"/>
    </row>
    <row r="629" spans="15:20" x14ac:dyDescent="0.2">
      <c r="O629"/>
      <c r="P629"/>
      <c r="Q629"/>
      <c r="R629"/>
      <c r="S629"/>
      <c r="T629"/>
    </row>
    <row r="630" spans="15:20" x14ac:dyDescent="0.2">
      <c r="O630"/>
      <c r="P630"/>
      <c r="Q630"/>
      <c r="R630"/>
      <c r="S630"/>
      <c r="T630"/>
    </row>
    <row r="631" spans="15:20" x14ac:dyDescent="0.2">
      <c r="O631"/>
      <c r="P631"/>
      <c r="Q631"/>
      <c r="R631"/>
      <c r="S631"/>
      <c r="T631"/>
    </row>
    <row r="632" spans="15:20" x14ac:dyDescent="0.2">
      <c r="O632"/>
      <c r="P632"/>
      <c r="Q632"/>
      <c r="R632"/>
      <c r="S632"/>
      <c r="T632"/>
    </row>
    <row r="633" spans="15:20" x14ac:dyDescent="0.2">
      <c r="O633"/>
      <c r="P633"/>
      <c r="Q633"/>
      <c r="R633"/>
      <c r="S633"/>
      <c r="T633"/>
    </row>
    <row r="634" spans="15:20" x14ac:dyDescent="0.2">
      <c r="O634"/>
      <c r="P634"/>
      <c r="Q634"/>
      <c r="R634"/>
      <c r="S634"/>
      <c r="T634"/>
    </row>
    <row r="635" spans="15:20" x14ac:dyDescent="0.2">
      <c r="O635"/>
      <c r="P635"/>
      <c r="Q635"/>
      <c r="R635"/>
      <c r="S635"/>
      <c r="T635"/>
    </row>
    <row r="636" spans="15:20" x14ac:dyDescent="0.2">
      <c r="O636"/>
      <c r="P636"/>
      <c r="Q636"/>
      <c r="R636"/>
      <c r="S636"/>
      <c r="T636"/>
    </row>
    <row r="637" spans="15:20" x14ac:dyDescent="0.2">
      <c r="O637"/>
      <c r="P637"/>
      <c r="Q637"/>
      <c r="R637"/>
      <c r="S637"/>
      <c r="T637"/>
    </row>
    <row r="638" spans="15:20" x14ac:dyDescent="0.2">
      <c r="O638"/>
      <c r="P638"/>
      <c r="Q638"/>
      <c r="R638"/>
      <c r="S638"/>
      <c r="T638"/>
    </row>
    <row r="639" spans="15:20" x14ac:dyDescent="0.2">
      <c r="O639"/>
      <c r="P639"/>
      <c r="Q639"/>
      <c r="R639"/>
      <c r="S639"/>
      <c r="T639"/>
    </row>
    <row r="640" spans="15:20" x14ac:dyDescent="0.2">
      <c r="O640"/>
      <c r="P640"/>
      <c r="Q640"/>
      <c r="R640"/>
      <c r="S640"/>
      <c r="T640"/>
    </row>
    <row r="641" spans="15:20" x14ac:dyDescent="0.2">
      <c r="O641"/>
      <c r="P641"/>
      <c r="Q641"/>
      <c r="R641"/>
      <c r="S641"/>
      <c r="T641"/>
    </row>
    <row r="642" spans="15:20" x14ac:dyDescent="0.2">
      <c r="O642"/>
      <c r="P642"/>
      <c r="Q642"/>
      <c r="R642"/>
      <c r="S642"/>
      <c r="T642"/>
    </row>
    <row r="643" spans="15:20" x14ac:dyDescent="0.2">
      <c r="O643"/>
      <c r="P643"/>
      <c r="Q643"/>
      <c r="R643"/>
      <c r="S643"/>
      <c r="T643"/>
    </row>
    <row r="644" spans="15:20" x14ac:dyDescent="0.2">
      <c r="O644"/>
      <c r="P644"/>
      <c r="Q644"/>
      <c r="R644"/>
      <c r="S644"/>
      <c r="T644"/>
    </row>
    <row r="645" spans="15:20" x14ac:dyDescent="0.2">
      <c r="O645"/>
      <c r="P645"/>
      <c r="Q645"/>
      <c r="R645"/>
      <c r="S645"/>
      <c r="T645"/>
    </row>
    <row r="646" spans="15:20" x14ac:dyDescent="0.2">
      <c r="O646"/>
      <c r="P646"/>
      <c r="Q646"/>
      <c r="R646"/>
      <c r="S646"/>
      <c r="T646"/>
    </row>
    <row r="647" spans="15:20" x14ac:dyDescent="0.2">
      <c r="O647"/>
      <c r="P647"/>
      <c r="Q647"/>
      <c r="R647"/>
      <c r="S647"/>
      <c r="T647"/>
    </row>
    <row r="648" spans="15:20" x14ac:dyDescent="0.2">
      <c r="O648"/>
      <c r="P648"/>
      <c r="Q648"/>
      <c r="R648"/>
      <c r="S648"/>
      <c r="T648"/>
    </row>
    <row r="649" spans="15:20" x14ac:dyDescent="0.2">
      <c r="O649"/>
      <c r="P649"/>
      <c r="Q649"/>
      <c r="R649"/>
      <c r="S649"/>
      <c r="T649"/>
    </row>
    <row r="650" spans="15:20" x14ac:dyDescent="0.2">
      <c r="O650"/>
      <c r="P650"/>
      <c r="Q650"/>
      <c r="R650"/>
      <c r="S650"/>
      <c r="T650"/>
    </row>
    <row r="651" spans="15:20" x14ac:dyDescent="0.2">
      <c r="O651"/>
      <c r="P651"/>
      <c r="Q651"/>
      <c r="R651"/>
      <c r="S651"/>
      <c r="T651"/>
    </row>
    <row r="652" spans="15:20" x14ac:dyDescent="0.2">
      <c r="O652"/>
      <c r="P652"/>
      <c r="Q652"/>
      <c r="R652"/>
      <c r="S652"/>
      <c r="T652"/>
    </row>
    <row r="653" spans="15:20" x14ac:dyDescent="0.2">
      <c r="O653"/>
      <c r="P653"/>
      <c r="Q653"/>
      <c r="R653"/>
      <c r="S653"/>
      <c r="T653"/>
    </row>
    <row r="654" spans="15:20" x14ac:dyDescent="0.2">
      <c r="O654"/>
      <c r="P654"/>
      <c r="Q654"/>
      <c r="R654"/>
      <c r="S654"/>
      <c r="T654"/>
    </row>
    <row r="655" spans="15:20" x14ac:dyDescent="0.2">
      <c r="O655"/>
      <c r="P655"/>
      <c r="Q655"/>
      <c r="R655"/>
      <c r="S655"/>
      <c r="T655"/>
    </row>
    <row r="656" spans="15:20" x14ac:dyDescent="0.2">
      <c r="O656"/>
      <c r="P656"/>
      <c r="Q656"/>
      <c r="R656"/>
      <c r="S656"/>
      <c r="T656"/>
    </row>
    <row r="657" spans="15:20" x14ac:dyDescent="0.2">
      <c r="O657"/>
      <c r="P657"/>
      <c r="Q657"/>
      <c r="R657"/>
      <c r="S657"/>
      <c r="T657"/>
    </row>
    <row r="658" spans="15:20" x14ac:dyDescent="0.2">
      <c r="O658"/>
      <c r="P658"/>
      <c r="Q658"/>
      <c r="R658"/>
      <c r="S658"/>
      <c r="T658"/>
    </row>
    <row r="659" spans="15:20" x14ac:dyDescent="0.2">
      <c r="O659"/>
      <c r="P659"/>
      <c r="Q659"/>
      <c r="R659"/>
      <c r="S659"/>
      <c r="T659"/>
    </row>
    <row r="660" spans="15:20" x14ac:dyDescent="0.2">
      <c r="O660"/>
      <c r="P660"/>
      <c r="Q660"/>
      <c r="R660"/>
      <c r="S660"/>
      <c r="T660"/>
    </row>
    <row r="661" spans="15:20" x14ac:dyDescent="0.2">
      <c r="O661"/>
      <c r="P661"/>
      <c r="Q661"/>
      <c r="R661"/>
      <c r="S661"/>
      <c r="T661"/>
    </row>
    <row r="662" spans="15:20" x14ac:dyDescent="0.2">
      <c r="O662"/>
      <c r="P662"/>
      <c r="Q662"/>
      <c r="R662"/>
      <c r="S662"/>
      <c r="T662"/>
    </row>
    <row r="663" spans="15:20" x14ac:dyDescent="0.2">
      <c r="O663"/>
      <c r="P663"/>
      <c r="Q663"/>
      <c r="R663"/>
      <c r="S663"/>
      <c r="T663"/>
    </row>
    <row r="664" spans="15:20" x14ac:dyDescent="0.2">
      <c r="O664"/>
      <c r="P664"/>
      <c r="Q664"/>
      <c r="R664"/>
      <c r="S664"/>
      <c r="T664"/>
    </row>
    <row r="665" spans="15:20" x14ac:dyDescent="0.2">
      <c r="O665"/>
      <c r="P665"/>
      <c r="Q665"/>
      <c r="R665"/>
      <c r="S665"/>
      <c r="T665"/>
    </row>
    <row r="666" spans="15:20" x14ac:dyDescent="0.2">
      <c r="O666"/>
      <c r="P666"/>
      <c r="Q666"/>
      <c r="R666"/>
      <c r="S666"/>
      <c r="T666"/>
    </row>
    <row r="667" spans="15:20" x14ac:dyDescent="0.2">
      <c r="O667"/>
      <c r="P667"/>
      <c r="Q667"/>
      <c r="R667"/>
      <c r="S667"/>
      <c r="T667"/>
    </row>
    <row r="668" spans="15:20" x14ac:dyDescent="0.2">
      <c r="O668"/>
      <c r="P668"/>
      <c r="Q668"/>
      <c r="R668"/>
      <c r="S668"/>
      <c r="T668"/>
    </row>
    <row r="669" spans="15:20" x14ac:dyDescent="0.2">
      <c r="O669"/>
      <c r="P669"/>
      <c r="Q669"/>
      <c r="R669"/>
      <c r="S669"/>
      <c r="T669"/>
    </row>
    <row r="670" spans="15:20" x14ac:dyDescent="0.2">
      <c r="O670"/>
      <c r="P670"/>
      <c r="Q670"/>
      <c r="R670"/>
      <c r="S670"/>
      <c r="T670"/>
    </row>
    <row r="671" spans="15:20" x14ac:dyDescent="0.2">
      <c r="O671"/>
      <c r="P671"/>
      <c r="Q671"/>
      <c r="R671"/>
      <c r="S671"/>
      <c r="T671"/>
    </row>
    <row r="672" spans="15:20" x14ac:dyDescent="0.2">
      <c r="O672"/>
      <c r="P672"/>
      <c r="Q672"/>
      <c r="R672"/>
      <c r="S672"/>
      <c r="T672"/>
    </row>
    <row r="673" spans="15:20" x14ac:dyDescent="0.2">
      <c r="O673"/>
      <c r="P673"/>
      <c r="Q673"/>
      <c r="R673"/>
      <c r="S673"/>
      <c r="T673"/>
    </row>
    <row r="674" spans="15:20" x14ac:dyDescent="0.2">
      <c r="O674"/>
      <c r="P674"/>
      <c r="Q674"/>
      <c r="R674"/>
      <c r="S674"/>
      <c r="T674"/>
    </row>
    <row r="675" spans="15:20" x14ac:dyDescent="0.2">
      <c r="O675"/>
      <c r="P675"/>
      <c r="Q675"/>
      <c r="R675"/>
      <c r="S675"/>
      <c r="T675"/>
    </row>
    <row r="676" spans="15:20" x14ac:dyDescent="0.2">
      <c r="O676"/>
      <c r="P676"/>
      <c r="Q676"/>
      <c r="R676"/>
      <c r="S676"/>
      <c r="T676"/>
    </row>
    <row r="677" spans="15:20" x14ac:dyDescent="0.2">
      <c r="O677"/>
      <c r="P677"/>
      <c r="Q677"/>
      <c r="R677"/>
      <c r="S677"/>
      <c r="T677"/>
    </row>
    <row r="678" spans="15:20" x14ac:dyDescent="0.2">
      <c r="O678"/>
      <c r="P678"/>
      <c r="Q678"/>
      <c r="R678"/>
      <c r="S678"/>
      <c r="T678"/>
    </row>
    <row r="679" spans="15:20" x14ac:dyDescent="0.2">
      <c r="O679"/>
      <c r="P679"/>
      <c r="Q679"/>
      <c r="R679"/>
      <c r="S679"/>
      <c r="T679"/>
    </row>
    <row r="680" spans="15:20" x14ac:dyDescent="0.2">
      <c r="O680"/>
      <c r="P680"/>
      <c r="Q680"/>
      <c r="R680"/>
      <c r="S680"/>
      <c r="T680"/>
    </row>
    <row r="681" spans="15:20" x14ac:dyDescent="0.2">
      <c r="O681"/>
      <c r="P681"/>
      <c r="Q681"/>
      <c r="R681"/>
      <c r="S681"/>
      <c r="T681"/>
    </row>
    <row r="682" spans="15:20" x14ac:dyDescent="0.2">
      <c r="O682"/>
      <c r="P682"/>
      <c r="Q682"/>
      <c r="R682"/>
      <c r="S682"/>
      <c r="T682"/>
    </row>
    <row r="683" spans="15:20" x14ac:dyDescent="0.2">
      <c r="O683"/>
      <c r="P683"/>
      <c r="Q683"/>
      <c r="R683"/>
      <c r="S683"/>
      <c r="T683"/>
    </row>
    <row r="684" spans="15:20" x14ac:dyDescent="0.2">
      <c r="O684"/>
      <c r="P684"/>
      <c r="Q684"/>
      <c r="R684"/>
      <c r="S684"/>
      <c r="T684"/>
    </row>
    <row r="685" spans="15:20" x14ac:dyDescent="0.2">
      <c r="O685"/>
      <c r="P685"/>
      <c r="Q685"/>
      <c r="R685"/>
      <c r="S685"/>
      <c r="T685"/>
    </row>
    <row r="686" spans="15:20" x14ac:dyDescent="0.2">
      <c r="O686"/>
      <c r="P686"/>
      <c r="Q686"/>
      <c r="R686"/>
      <c r="S686"/>
      <c r="T686"/>
    </row>
    <row r="687" spans="15:20" x14ac:dyDescent="0.2">
      <c r="O687"/>
      <c r="P687"/>
      <c r="Q687"/>
      <c r="R687"/>
      <c r="S687"/>
      <c r="T687"/>
    </row>
    <row r="688" spans="15:20" x14ac:dyDescent="0.2">
      <c r="O688"/>
      <c r="P688"/>
      <c r="Q688"/>
      <c r="R688"/>
      <c r="S688"/>
      <c r="T688"/>
    </row>
    <row r="689" spans="15:20" x14ac:dyDescent="0.2">
      <c r="O689"/>
      <c r="P689"/>
      <c r="Q689"/>
      <c r="R689"/>
      <c r="S689"/>
      <c r="T689"/>
    </row>
    <row r="690" spans="15:20" x14ac:dyDescent="0.2">
      <c r="O690"/>
      <c r="P690"/>
      <c r="Q690"/>
      <c r="R690"/>
      <c r="S690"/>
      <c r="T690"/>
    </row>
    <row r="691" spans="15:20" x14ac:dyDescent="0.2">
      <c r="O691"/>
      <c r="P691"/>
      <c r="Q691"/>
      <c r="R691"/>
      <c r="S691"/>
      <c r="T691"/>
    </row>
    <row r="692" spans="15:20" x14ac:dyDescent="0.2">
      <c r="O692"/>
      <c r="P692"/>
      <c r="Q692"/>
      <c r="R692"/>
      <c r="S692"/>
      <c r="T692"/>
    </row>
    <row r="693" spans="15:20" x14ac:dyDescent="0.2">
      <c r="O693"/>
      <c r="P693"/>
      <c r="Q693"/>
      <c r="R693"/>
      <c r="S693"/>
      <c r="T693"/>
    </row>
    <row r="694" spans="15:20" x14ac:dyDescent="0.2">
      <c r="O694"/>
      <c r="P694"/>
      <c r="Q694"/>
      <c r="R694"/>
      <c r="S694"/>
      <c r="T694"/>
    </row>
    <row r="695" spans="15:20" x14ac:dyDescent="0.2">
      <c r="O695"/>
      <c r="P695"/>
      <c r="Q695"/>
      <c r="R695"/>
      <c r="S695"/>
      <c r="T695"/>
    </row>
    <row r="696" spans="15:20" x14ac:dyDescent="0.2">
      <c r="O696"/>
      <c r="P696"/>
      <c r="Q696"/>
      <c r="R696"/>
      <c r="S696"/>
      <c r="T696"/>
    </row>
    <row r="697" spans="15:20" x14ac:dyDescent="0.2">
      <c r="O697"/>
      <c r="P697"/>
      <c r="Q697"/>
      <c r="R697"/>
      <c r="S697"/>
      <c r="T697"/>
    </row>
    <row r="698" spans="15:20" x14ac:dyDescent="0.2">
      <c r="O698"/>
      <c r="P698"/>
      <c r="Q698"/>
      <c r="R698"/>
      <c r="S698"/>
      <c r="T698"/>
    </row>
    <row r="699" spans="15:20" x14ac:dyDescent="0.2">
      <c r="O699"/>
      <c r="P699"/>
      <c r="Q699"/>
      <c r="R699"/>
      <c r="S699"/>
      <c r="T699"/>
    </row>
    <row r="700" spans="15:20" x14ac:dyDescent="0.2">
      <c r="O700"/>
      <c r="P700"/>
      <c r="Q700"/>
      <c r="R700"/>
      <c r="S700"/>
      <c r="T700"/>
    </row>
    <row r="701" spans="15:20" x14ac:dyDescent="0.2">
      <c r="O701"/>
      <c r="P701"/>
      <c r="Q701"/>
      <c r="R701"/>
      <c r="S701"/>
      <c r="T701"/>
    </row>
    <row r="702" spans="15:20" x14ac:dyDescent="0.2">
      <c r="O702"/>
      <c r="P702"/>
      <c r="Q702"/>
      <c r="R702"/>
      <c r="S702"/>
      <c r="T702"/>
    </row>
    <row r="703" spans="15:20" x14ac:dyDescent="0.2">
      <c r="O703"/>
      <c r="P703"/>
      <c r="Q703"/>
      <c r="R703"/>
      <c r="S703"/>
      <c r="T703"/>
    </row>
    <row r="704" spans="15:20" x14ac:dyDescent="0.2">
      <c r="O704"/>
      <c r="P704"/>
      <c r="Q704"/>
      <c r="R704"/>
      <c r="S704"/>
      <c r="T704"/>
    </row>
    <row r="705" spans="15:20" x14ac:dyDescent="0.2">
      <c r="O705"/>
      <c r="P705"/>
      <c r="Q705"/>
      <c r="R705"/>
      <c r="S705"/>
      <c r="T705"/>
    </row>
    <row r="706" spans="15:20" x14ac:dyDescent="0.2">
      <c r="O706"/>
      <c r="P706"/>
      <c r="Q706"/>
      <c r="R706"/>
      <c r="S706"/>
      <c r="T706"/>
    </row>
    <row r="707" spans="15:20" x14ac:dyDescent="0.2">
      <c r="O707"/>
      <c r="P707"/>
      <c r="Q707"/>
      <c r="R707"/>
      <c r="S707"/>
      <c r="T707"/>
    </row>
    <row r="708" spans="15:20" x14ac:dyDescent="0.2">
      <c r="O708"/>
      <c r="P708"/>
      <c r="Q708"/>
      <c r="R708"/>
      <c r="S708"/>
      <c r="T708"/>
    </row>
    <row r="709" spans="15:20" x14ac:dyDescent="0.2">
      <c r="O709"/>
      <c r="P709"/>
      <c r="Q709"/>
      <c r="R709"/>
      <c r="S709"/>
      <c r="T709"/>
    </row>
    <row r="710" spans="15:20" x14ac:dyDescent="0.2">
      <c r="O710"/>
      <c r="P710"/>
      <c r="Q710"/>
      <c r="R710"/>
      <c r="S710"/>
      <c r="T710"/>
    </row>
    <row r="711" spans="15:20" x14ac:dyDescent="0.2">
      <c r="O711"/>
      <c r="P711"/>
      <c r="Q711"/>
      <c r="R711"/>
      <c r="S711"/>
      <c r="T711"/>
    </row>
    <row r="712" spans="15:20" x14ac:dyDescent="0.2">
      <c r="O712"/>
      <c r="P712"/>
      <c r="Q712"/>
      <c r="R712"/>
      <c r="S712"/>
      <c r="T712"/>
    </row>
    <row r="713" spans="15:20" x14ac:dyDescent="0.2">
      <c r="O713"/>
      <c r="P713"/>
      <c r="Q713"/>
      <c r="R713"/>
      <c r="S713"/>
      <c r="T713"/>
    </row>
    <row r="714" spans="15:20" x14ac:dyDescent="0.2">
      <c r="O714"/>
      <c r="P714"/>
      <c r="Q714"/>
      <c r="R714"/>
      <c r="S714"/>
      <c r="T714"/>
    </row>
    <row r="715" spans="15:20" x14ac:dyDescent="0.2">
      <c r="O715"/>
      <c r="P715"/>
      <c r="Q715"/>
      <c r="R715"/>
      <c r="S715"/>
      <c r="T715"/>
    </row>
    <row r="716" spans="15:20" x14ac:dyDescent="0.2">
      <c r="O716"/>
      <c r="P716"/>
      <c r="Q716"/>
      <c r="R716"/>
      <c r="S716"/>
      <c r="T716"/>
    </row>
    <row r="717" spans="15:20" x14ac:dyDescent="0.2">
      <c r="O717"/>
      <c r="P717"/>
      <c r="Q717"/>
      <c r="R717"/>
      <c r="S717"/>
      <c r="T717"/>
    </row>
    <row r="718" spans="15:20" x14ac:dyDescent="0.2">
      <c r="O718"/>
      <c r="P718"/>
      <c r="Q718"/>
      <c r="R718"/>
      <c r="S718"/>
      <c r="T718"/>
    </row>
    <row r="719" spans="15:20" x14ac:dyDescent="0.2">
      <c r="O719"/>
      <c r="P719"/>
      <c r="Q719"/>
      <c r="R719"/>
      <c r="S719"/>
      <c r="T719"/>
    </row>
    <row r="720" spans="15:20" x14ac:dyDescent="0.2">
      <c r="O720"/>
      <c r="P720"/>
      <c r="Q720"/>
      <c r="R720"/>
      <c r="S720"/>
      <c r="T720"/>
    </row>
    <row r="721" spans="15:20" x14ac:dyDescent="0.2">
      <c r="O721"/>
      <c r="P721"/>
      <c r="Q721"/>
      <c r="R721"/>
      <c r="S721"/>
      <c r="T721"/>
    </row>
    <row r="722" spans="15:20" x14ac:dyDescent="0.2">
      <c r="O722"/>
      <c r="P722"/>
      <c r="Q722"/>
      <c r="R722"/>
      <c r="S722"/>
      <c r="T722"/>
    </row>
    <row r="723" spans="15:20" x14ac:dyDescent="0.2">
      <c r="O723"/>
      <c r="P723"/>
      <c r="Q723"/>
      <c r="R723"/>
      <c r="S723"/>
      <c r="T723"/>
    </row>
    <row r="724" spans="15:20" x14ac:dyDescent="0.2">
      <c r="O724"/>
      <c r="P724"/>
      <c r="Q724"/>
      <c r="R724"/>
      <c r="S724"/>
      <c r="T724"/>
    </row>
    <row r="725" spans="15:20" x14ac:dyDescent="0.2">
      <c r="O725"/>
      <c r="P725"/>
      <c r="Q725"/>
      <c r="R725"/>
      <c r="S725"/>
      <c r="T725"/>
    </row>
    <row r="726" spans="15:20" x14ac:dyDescent="0.2">
      <c r="O726"/>
      <c r="P726"/>
      <c r="Q726"/>
      <c r="R726"/>
      <c r="S726"/>
      <c r="T726"/>
    </row>
    <row r="727" spans="15:20" x14ac:dyDescent="0.2">
      <c r="O727"/>
      <c r="P727"/>
      <c r="Q727"/>
      <c r="R727"/>
      <c r="S727"/>
      <c r="T727"/>
    </row>
    <row r="728" spans="15:20" x14ac:dyDescent="0.2">
      <c r="O728"/>
      <c r="P728"/>
      <c r="Q728"/>
      <c r="R728"/>
      <c r="S728"/>
      <c r="T728"/>
    </row>
    <row r="729" spans="15:20" x14ac:dyDescent="0.2">
      <c r="O729"/>
      <c r="P729"/>
      <c r="Q729"/>
      <c r="R729"/>
      <c r="S729"/>
      <c r="T729"/>
    </row>
    <row r="730" spans="15:20" x14ac:dyDescent="0.2">
      <c r="O730"/>
      <c r="P730"/>
      <c r="Q730"/>
      <c r="R730"/>
      <c r="S730"/>
      <c r="T730"/>
    </row>
    <row r="731" spans="15:20" x14ac:dyDescent="0.2">
      <c r="O731"/>
      <c r="P731"/>
      <c r="Q731"/>
      <c r="R731"/>
      <c r="S731"/>
      <c r="T731"/>
    </row>
    <row r="732" spans="15:20" x14ac:dyDescent="0.2">
      <c r="O732"/>
      <c r="P732"/>
      <c r="Q732"/>
      <c r="R732"/>
      <c r="S732"/>
      <c r="T732"/>
    </row>
    <row r="733" spans="15:20" x14ac:dyDescent="0.2">
      <c r="O733"/>
      <c r="P733"/>
      <c r="Q733"/>
      <c r="R733"/>
      <c r="S733"/>
      <c r="T733"/>
    </row>
    <row r="734" spans="15:20" x14ac:dyDescent="0.2">
      <c r="O734"/>
      <c r="P734"/>
      <c r="Q734"/>
      <c r="R734"/>
      <c r="S734"/>
      <c r="T734"/>
    </row>
    <row r="735" spans="15:20" x14ac:dyDescent="0.2">
      <c r="O735"/>
      <c r="P735"/>
      <c r="Q735"/>
      <c r="R735"/>
      <c r="S735"/>
      <c r="T735"/>
    </row>
    <row r="736" spans="15:20" x14ac:dyDescent="0.2">
      <c r="O736"/>
      <c r="P736"/>
      <c r="Q736"/>
      <c r="R736"/>
      <c r="S736"/>
      <c r="T736"/>
    </row>
    <row r="737" spans="15:20" x14ac:dyDescent="0.2">
      <c r="O737"/>
      <c r="P737"/>
      <c r="Q737"/>
      <c r="R737"/>
      <c r="S737"/>
      <c r="T737"/>
    </row>
    <row r="738" spans="15:20" x14ac:dyDescent="0.2">
      <c r="O738"/>
      <c r="P738"/>
      <c r="Q738"/>
      <c r="R738"/>
      <c r="S738"/>
      <c r="T738"/>
    </row>
    <row r="739" spans="15:20" x14ac:dyDescent="0.2">
      <c r="O739"/>
      <c r="P739"/>
      <c r="Q739"/>
      <c r="R739"/>
      <c r="S739"/>
      <c r="T739"/>
    </row>
    <row r="740" spans="15:20" x14ac:dyDescent="0.2">
      <c r="O740"/>
      <c r="P740"/>
      <c r="Q740"/>
      <c r="R740"/>
      <c r="S740"/>
      <c r="T740"/>
    </row>
    <row r="741" spans="15:20" x14ac:dyDescent="0.2">
      <c r="O741"/>
      <c r="P741"/>
      <c r="Q741"/>
      <c r="R741"/>
      <c r="S741"/>
      <c r="T741"/>
    </row>
    <row r="742" spans="15:20" x14ac:dyDescent="0.2">
      <c r="O742"/>
      <c r="P742"/>
      <c r="Q742"/>
      <c r="R742"/>
      <c r="S742"/>
      <c r="T742"/>
    </row>
    <row r="743" spans="15:20" x14ac:dyDescent="0.2">
      <c r="O743"/>
      <c r="P743"/>
      <c r="Q743"/>
      <c r="R743"/>
      <c r="S743"/>
      <c r="T743"/>
    </row>
    <row r="744" spans="15:20" x14ac:dyDescent="0.2">
      <c r="O744"/>
      <c r="P744"/>
      <c r="Q744"/>
      <c r="R744"/>
      <c r="S744"/>
      <c r="T744"/>
    </row>
    <row r="745" spans="15:20" x14ac:dyDescent="0.2">
      <c r="O745"/>
      <c r="P745"/>
      <c r="Q745"/>
      <c r="R745"/>
      <c r="S745"/>
      <c r="T745"/>
    </row>
    <row r="746" spans="15:20" x14ac:dyDescent="0.2">
      <c r="O746"/>
      <c r="P746"/>
      <c r="Q746"/>
      <c r="R746"/>
      <c r="S746"/>
      <c r="T746"/>
    </row>
    <row r="747" spans="15:20" x14ac:dyDescent="0.2">
      <c r="O747"/>
      <c r="P747"/>
      <c r="Q747"/>
      <c r="R747"/>
      <c r="S747"/>
      <c r="T747"/>
    </row>
    <row r="748" spans="15:20" x14ac:dyDescent="0.2">
      <c r="O748"/>
      <c r="P748"/>
      <c r="Q748"/>
      <c r="R748"/>
      <c r="S748"/>
      <c r="T748"/>
    </row>
    <row r="749" spans="15:20" x14ac:dyDescent="0.2">
      <c r="O749"/>
      <c r="P749"/>
      <c r="Q749"/>
      <c r="R749"/>
      <c r="S749"/>
      <c r="T749"/>
    </row>
    <row r="750" spans="15:20" x14ac:dyDescent="0.2">
      <c r="O750"/>
      <c r="P750"/>
      <c r="Q750"/>
      <c r="R750"/>
      <c r="S750"/>
      <c r="T750"/>
    </row>
    <row r="751" spans="15:20" x14ac:dyDescent="0.2">
      <c r="O751"/>
      <c r="P751"/>
      <c r="Q751"/>
      <c r="R751"/>
      <c r="S751"/>
      <c r="T751"/>
    </row>
    <row r="752" spans="15:20" x14ac:dyDescent="0.2">
      <c r="O752"/>
      <c r="P752"/>
      <c r="Q752"/>
      <c r="R752"/>
      <c r="S752"/>
      <c r="T752"/>
    </row>
    <row r="753" spans="15:20" x14ac:dyDescent="0.2">
      <c r="O753"/>
      <c r="P753"/>
      <c r="Q753"/>
      <c r="R753"/>
      <c r="S753"/>
      <c r="T753"/>
    </row>
    <row r="754" spans="15:20" x14ac:dyDescent="0.2">
      <c r="O754"/>
      <c r="P754"/>
      <c r="Q754"/>
      <c r="R754"/>
      <c r="S754"/>
      <c r="T754"/>
    </row>
    <row r="755" spans="15:20" x14ac:dyDescent="0.2">
      <c r="O755"/>
      <c r="P755"/>
      <c r="Q755"/>
      <c r="R755"/>
      <c r="S755"/>
      <c r="T755"/>
    </row>
    <row r="756" spans="15:20" x14ac:dyDescent="0.2">
      <c r="O756"/>
      <c r="P756"/>
      <c r="Q756"/>
      <c r="R756"/>
      <c r="S756"/>
      <c r="T756"/>
    </row>
    <row r="757" spans="15:20" x14ac:dyDescent="0.2">
      <c r="O757"/>
      <c r="P757"/>
      <c r="Q757"/>
      <c r="R757"/>
      <c r="S757"/>
      <c r="T757"/>
    </row>
    <row r="758" spans="15:20" x14ac:dyDescent="0.2">
      <c r="O758"/>
      <c r="P758"/>
      <c r="Q758"/>
      <c r="R758"/>
      <c r="S758"/>
      <c r="T758"/>
    </row>
    <row r="759" spans="15:20" x14ac:dyDescent="0.2">
      <c r="O759"/>
      <c r="P759"/>
      <c r="Q759"/>
      <c r="R759"/>
      <c r="S759"/>
      <c r="T759"/>
    </row>
    <row r="760" spans="15:20" x14ac:dyDescent="0.2">
      <c r="O760"/>
      <c r="P760"/>
      <c r="Q760"/>
      <c r="R760"/>
      <c r="S760"/>
      <c r="T760"/>
    </row>
    <row r="761" spans="15:20" x14ac:dyDescent="0.2">
      <c r="O761"/>
      <c r="P761"/>
      <c r="Q761"/>
      <c r="R761"/>
      <c r="S761"/>
      <c r="T761"/>
    </row>
    <row r="762" spans="15:20" x14ac:dyDescent="0.2">
      <c r="O762"/>
      <c r="P762"/>
      <c r="Q762"/>
      <c r="R762"/>
      <c r="S762"/>
      <c r="T762"/>
    </row>
    <row r="763" spans="15:20" x14ac:dyDescent="0.2">
      <c r="O763"/>
      <c r="P763"/>
      <c r="Q763"/>
      <c r="R763"/>
      <c r="S763"/>
      <c r="T763"/>
    </row>
    <row r="764" spans="15:20" x14ac:dyDescent="0.2">
      <c r="O764"/>
      <c r="P764"/>
      <c r="Q764"/>
      <c r="R764"/>
      <c r="S764"/>
      <c r="T764"/>
    </row>
    <row r="765" spans="15:20" x14ac:dyDescent="0.2">
      <c r="O765"/>
      <c r="P765"/>
      <c r="Q765"/>
      <c r="R765"/>
      <c r="S765"/>
      <c r="T765"/>
    </row>
    <row r="766" spans="15:20" x14ac:dyDescent="0.2">
      <c r="O766"/>
      <c r="P766"/>
      <c r="Q766"/>
      <c r="R766"/>
      <c r="S766"/>
      <c r="T766"/>
    </row>
    <row r="767" spans="15:20" x14ac:dyDescent="0.2">
      <c r="O767"/>
      <c r="P767"/>
      <c r="Q767"/>
      <c r="R767"/>
      <c r="S767"/>
      <c r="T767"/>
    </row>
    <row r="768" spans="15:20" x14ac:dyDescent="0.2">
      <c r="O768"/>
      <c r="P768"/>
      <c r="Q768"/>
      <c r="R768"/>
      <c r="S768"/>
      <c r="T768"/>
    </row>
    <row r="769" spans="15:20" x14ac:dyDescent="0.2">
      <c r="O769"/>
      <c r="P769"/>
      <c r="Q769"/>
      <c r="R769"/>
      <c r="S769"/>
      <c r="T769"/>
    </row>
    <row r="770" spans="15:20" x14ac:dyDescent="0.2">
      <c r="O770"/>
      <c r="P770"/>
      <c r="Q770"/>
      <c r="R770"/>
      <c r="S770"/>
      <c r="T770"/>
    </row>
    <row r="771" spans="15:20" x14ac:dyDescent="0.2">
      <c r="O771"/>
      <c r="P771"/>
      <c r="Q771"/>
      <c r="R771"/>
      <c r="S771"/>
      <c r="T771"/>
    </row>
    <row r="772" spans="15:20" x14ac:dyDescent="0.2">
      <c r="O772"/>
      <c r="P772"/>
      <c r="Q772"/>
      <c r="R772"/>
      <c r="S772"/>
      <c r="T772"/>
    </row>
    <row r="773" spans="15:20" x14ac:dyDescent="0.2">
      <c r="O773"/>
      <c r="P773"/>
      <c r="Q773"/>
      <c r="R773"/>
      <c r="S773"/>
      <c r="T773"/>
    </row>
    <row r="774" spans="15:20" x14ac:dyDescent="0.2">
      <c r="O774"/>
      <c r="P774"/>
      <c r="Q774"/>
      <c r="R774"/>
      <c r="S774"/>
      <c r="T774"/>
    </row>
    <row r="775" spans="15:20" x14ac:dyDescent="0.2">
      <c r="O775"/>
      <c r="P775"/>
      <c r="Q775"/>
      <c r="R775"/>
      <c r="S775"/>
      <c r="T775"/>
    </row>
    <row r="776" spans="15:20" x14ac:dyDescent="0.2">
      <c r="O776"/>
      <c r="P776"/>
      <c r="Q776"/>
      <c r="R776"/>
      <c r="S776"/>
      <c r="T776"/>
    </row>
    <row r="777" spans="15:20" x14ac:dyDescent="0.2">
      <c r="O777"/>
      <c r="P777"/>
      <c r="Q777"/>
      <c r="R777"/>
      <c r="S777"/>
      <c r="T777"/>
    </row>
    <row r="778" spans="15:20" x14ac:dyDescent="0.2">
      <c r="O778"/>
      <c r="P778"/>
      <c r="Q778"/>
      <c r="R778"/>
      <c r="S778"/>
      <c r="T778"/>
    </row>
    <row r="779" spans="15:20" x14ac:dyDescent="0.2">
      <c r="O779"/>
      <c r="P779"/>
      <c r="Q779"/>
      <c r="R779"/>
      <c r="S779"/>
      <c r="T779"/>
    </row>
    <row r="780" spans="15:20" x14ac:dyDescent="0.2">
      <c r="O780"/>
      <c r="P780"/>
      <c r="Q780"/>
      <c r="R780"/>
      <c r="S780"/>
      <c r="T780"/>
    </row>
    <row r="781" spans="15:20" x14ac:dyDescent="0.2">
      <c r="O781"/>
      <c r="P781"/>
      <c r="Q781"/>
      <c r="R781"/>
      <c r="S781"/>
      <c r="T781"/>
    </row>
    <row r="782" spans="15:20" x14ac:dyDescent="0.2">
      <c r="O782"/>
      <c r="P782"/>
      <c r="Q782"/>
      <c r="R782"/>
      <c r="S782"/>
      <c r="T782"/>
    </row>
    <row r="783" spans="15:20" x14ac:dyDescent="0.2">
      <c r="O783"/>
      <c r="P783"/>
      <c r="Q783"/>
      <c r="R783"/>
      <c r="S783"/>
      <c r="T783"/>
    </row>
    <row r="784" spans="15:20" x14ac:dyDescent="0.2">
      <c r="O784"/>
      <c r="P784"/>
      <c r="Q784"/>
      <c r="R784"/>
      <c r="S784"/>
      <c r="T784"/>
    </row>
    <row r="785" spans="15:20" x14ac:dyDescent="0.2">
      <c r="O785"/>
      <c r="P785"/>
      <c r="Q785"/>
      <c r="R785"/>
      <c r="S785"/>
      <c r="T785"/>
    </row>
    <row r="786" spans="15:20" x14ac:dyDescent="0.2">
      <c r="O786"/>
      <c r="P786"/>
      <c r="Q786"/>
      <c r="R786"/>
      <c r="S786"/>
      <c r="T786"/>
    </row>
    <row r="787" spans="15:20" x14ac:dyDescent="0.2">
      <c r="O787"/>
      <c r="P787"/>
      <c r="Q787"/>
      <c r="R787"/>
      <c r="S787"/>
      <c r="T787"/>
    </row>
    <row r="788" spans="15:20" x14ac:dyDescent="0.2">
      <c r="O788"/>
      <c r="P788"/>
      <c r="Q788"/>
      <c r="R788"/>
      <c r="S788"/>
      <c r="T788"/>
    </row>
    <row r="789" spans="15:20" x14ac:dyDescent="0.2">
      <c r="O789"/>
      <c r="P789"/>
      <c r="Q789"/>
      <c r="R789"/>
      <c r="S789"/>
      <c r="T789"/>
    </row>
    <row r="790" spans="15:20" x14ac:dyDescent="0.2">
      <c r="O790"/>
      <c r="P790"/>
      <c r="Q790"/>
      <c r="R790"/>
      <c r="S790"/>
      <c r="T790"/>
    </row>
    <row r="791" spans="15:20" x14ac:dyDescent="0.2">
      <c r="O791"/>
      <c r="P791"/>
      <c r="Q791"/>
      <c r="R791"/>
      <c r="S791"/>
      <c r="T791"/>
    </row>
    <row r="792" spans="15:20" x14ac:dyDescent="0.2">
      <c r="O792"/>
      <c r="P792"/>
      <c r="Q792"/>
      <c r="R792"/>
      <c r="S792"/>
      <c r="T792"/>
    </row>
    <row r="793" spans="15:20" x14ac:dyDescent="0.2">
      <c r="O793"/>
      <c r="P793"/>
      <c r="Q793"/>
      <c r="R793"/>
      <c r="S793"/>
      <c r="T793"/>
    </row>
    <row r="794" spans="15:20" x14ac:dyDescent="0.2">
      <c r="O794"/>
      <c r="P794"/>
      <c r="Q794"/>
      <c r="R794"/>
      <c r="S794"/>
      <c r="T794"/>
    </row>
    <row r="795" spans="15:20" x14ac:dyDescent="0.2">
      <c r="O795"/>
      <c r="P795"/>
      <c r="Q795"/>
      <c r="R795"/>
      <c r="S795"/>
      <c r="T795"/>
    </row>
    <row r="796" spans="15:20" x14ac:dyDescent="0.2">
      <c r="O796"/>
      <c r="P796"/>
      <c r="Q796"/>
      <c r="R796"/>
      <c r="S796"/>
      <c r="T796"/>
    </row>
    <row r="797" spans="15:20" x14ac:dyDescent="0.2">
      <c r="O797"/>
      <c r="P797"/>
      <c r="Q797"/>
      <c r="R797"/>
      <c r="S797"/>
      <c r="T797"/>
    </row>
    <row r="798" spans="15:20" x14ac:dyDescent="0.2">
      <c r="O798"/>
      <c r="P798"/>
      <c r="Q798"/>
      <c r="R798"/>
      <c r="S798"/>
      <c r="T798"/>
    </row>
    <row r="799" spans="15:20" x14ac:dyDescent="0.2">
      <c r="O799"/>
      <c r="P799"/>
      <c r="Q799"/>
      <c r="R799"/>
      <c r="S799"/>
      <c r="T799"/>
    </row>
    <row r="800" spans="15:20" x14ac:dyDescent="0.2">
      <c r="O800"/>
      <c r="P800"/>
      <c r="Q800"/>
      <c r="R800"/>
      <c r="S800"/>
      <c r="T800"/>
    </row>
    <row r="801" spans="15:20" x14ac:dyDescent="0.2">
      <c r="O801"/>
      <c r="P801"/>
      <c r="Q801"/>
      <c r="R801"/>
      <c r="S801"/>
      <c r="T801"/>
    </row>
    <row r="802" spans="15:20" x14ac:dyDescent="0.2">
      <c r="O802"/>
      <c r="P802"/>
      <c r="Q802"/>
      <c r="R802"/>
      <c r="S802"/>
      <c r="T802"/>
    </row>
    <row r="803" spans="15:20" x14ac:dyDescent="0.2">
      <c r="O803"/>
      <c r="P803"/>
      <c r="Q803"/>
      <c r="R803"/>
      <c r="S803"/>
      <c r="T803"/>
    </row>
    <row r="804" spans="15:20" x14ac:dyDescent="0.2">
      <c r="O804"/>
      <c r="P804"/>
      <c r="Q804"/>
      <c r="R804"/>
      <c r="S804"/>
      <c r="T804"/>
    </row>
    <row r="805" spans="15:20" x14ac:dyDescent="0.2">
      <c r="O805"/>
      <c r="P805"/>
      <c r="Q805"/>
      <c r="R805"/>
      <c r="S805"/>
      <c r="T805"/>
    </row>
    <row r="806" spans="15:20" x14ac:dyDescent="0.2">
      <c r="O806"/>
      <c r="P806"/>
      <c r="Q806"/>
      <c r="R806"/>
      <c r="S806"/>
      <c r="T806"/>
    </row>
    <row r="807" spans="15:20" x14ac:dyDescent="0.2">
      <c r="O807"/>
      <c r="P807"/>
      <c r="Q807"/>
      <c r="R807"/>
      <c r="S807"/>
      <c r="T807"/>
    </row>
    <row r="808" spans="15:20" x14ac:dyDescent="0.2">
      <c r="O808"/>
      <c r="P808"/>
      <c r="Q808"/>
      <c r="R808"/>
      <c r="S808"/>
      <c r="T808"/>
    </row>
    <row r="809" spans="15:20" x14ac:dyDescent="0.2">
      <c r="O809"/>
      <c r="P809"/>
      <c r="Q809"/>
      <c r="R809"/>
      <c r="S809"/>
      <c r="T809"/>
    </row>
    <row r="810" spans="15:20" x14ac:dyDescent="0.2">
      <c r="O810"/>
      <c r="P810"/>
      <c r="Q810"/>
      <c r="R810"/>
      <c r="S810"/>
      <c r="T810"/>
    </row>
    <row r="811" spans="15:20" x14ac:dyDescent="0.2">
      <c r="O811"/>
      <c r="P811"/>
      <c r="Q811"/>
      <c r="R811"/>
      <c r="S811"/>
      <c r="T811"/>
    </row>
    <row r="812" spans="15:20" x14ac:dyDescent="0.2">
      <c r="O812"/>
      <c r="P812"/>
      <c r="Q812"/>
      <c r="R812"/>
      <c r="S812"/>
      <c r="T812"/>
    </row>
    <row r="813" spans="15:20" x14ac:dyDescent="0.2">
      <c r="O813"/>
      <c r="P813"/>
      <c r="Q813"/>
      <c r="R813"/>
      <c r="S813"/>
      <c r="T813"/>
    </row>
    <row r="814" spans="15:20" x14ac:dyDescent="0.2">
      <c r="O814"/>
      <c r="P814"/>
      <c r="Q814"/>
      <c r="R814"/>
      <c r="S814"/>
      <c r="T814"/>
    </row>
    <row r="815" spans="15:20" x14ac:dyDescent="0.2">
      <c r="O815"/>
      <c r="P815"/>
      <c r="Q815"/>
      <c r="R815"/>
      <c r="S815"/>
      <c r="T815"/>
    </row>
    <row r="816" spans="15:20" x14ac:dyDescent="0.2">
      <c r="O816"/>
      <c r="P816"/>
      <c r="Q816"/>
      <c r="R816"/>
      <c r="S816"/>
      <c r="T816"/>
    </row>
    <row r="817" spans="15:20" x14ac:dyDescent="0.2">
      <c r="O817"/>
      <c r="P817"/>
      <c r="Q817"/>
      <c r="R817"/>
      <c r="S817"/>
      <c r="T817"/>
    </row>
    <row r="818" spans="15:20" x14ac:dyDescent="0.2">
      <c r="O818"/>
      <c r="P818"/>
      <c r="Q818"/>
      <c r="R818"/>
      <c r="S818"/>
      <c r="T818"/>
    </row>
    <row r="819" spans="15:20" x14ac:dyDescent="0.2">
      <c r="O819"/>
      <c r="P819"/>
      <c r="Q819"/>
      <c r="R819"/>
      <c r="S819"/>
      <c r="T819"/>
    </row>
    <row r="820" spans="15:20" x14ac:dyDescent="0.2">
      <c r="O820"/>
      <c r="P820"/>
      <c r="Q820"/>
      <c r="R820"/>
      <c r="S820"/>
      <c r="T820"/>
    </row>
    <row r="821" spans="15:20" x14ac:dyDescent="0.2">
      <c r="O821"/>
      <c r="P821"/>
      <c r="Q821"/>
      <c r="R821"/>
      <c r="S821"/>
      <c r="T821"/>
    </row>
    <row r="822" spans="15:20" x14ac:dyDescent="0.2">
      <c r="O822"/>
      <c r="P822"/>
      <c r="Q822"/>
      <c r="R822"/>
      <c r="S822"/>
      <c r="T822"/>
    </row>
    <row r="823" spans="15:20" x14ac:dyDescent="0.2">
      <c r="O823"/>
      <c r="P823"/>
      <c r="Q823"/>
      <c r="R823"/>
      <c r="S823"/>
      <c r="T823"/>
    </row>
    <row r="824" spans="15:20" x14ac:dyDescent="0.2">
      <c r="O824"/>
      <c r="P824"/>
      <c r="Q824"/>
      <c r="R824"/>
      <c r="S824"/>
      <c r="T824"/>
    </row>
    <row r="825" spans="15:20" x14ac:dyDescent="0.2">
      <c r="O825"/>
      <c r="P825"/>
      <c r="Q825"/>
      <c r="R825"/>
      <c r="S825"/>
      <c r="T825"/>
    </row>
    <row r="826" spans="15:20" x14ac:dyDescent="0.2">
      <c r="O826"/>
      <c r="P826"/>
      <c r="Q826"/>
      <c r="R826"/>
      <c r="S826"/>
      <c r="T826"/>
    </row>
    <row r="827" spans="15:20" x14ac:dyDescent="0.2">
      <c r="O827"/>
      <c r="P827"/>
      <c r="Q827"/>
      <c r="R827"/>
      <c r="S827"/>
      <c r="T827"/>
    </row>
    <row r="828" spans="15:20" x14ac:dyDescent="0.2">
      <c r="O828"/>
      <c r="P828"/>
      <c r="Q828"/>
      <c r="R828"/>
      <c r="S828"/>
      <c r="T828"/>
    </row>
    <row r="829" spans="15:20" x14ac:dyDescent="0.2">
      <c r="O829"/>
      <c r="P829"/>
      <c r="Q829"/>
      <c r="R829"/>
      <c r="S829"/>
      <c r="T829"/>
    </row>
    <row r="830" spans="15:20" x14ac:dyDescent="0.2">
      <c r="O830"/>
      <c r="P830"/>
      <c r="Q830"/>
      <c r="R830"/>
      <c r="S830"/>
      <c r="T830"/>
    </row>
    <row r="831" spans="15:20" x14ac:dyDescent="0.2">
      <c r="O831"/>
      <c r="P831"/>
      <c r="Q831"/>
      <c r="R831"/>
      <c r="S831"/>
      <c r="T831"/>
    </row>
    <row r="832" spans="15:20" x14ac:dyDescent="0.2">
      <c r="O832"/>
      <c r="P832"/>
      <c r="Q832"/>
      <c r="R832"/>
      <c r="S832"/>
      <c r="T832"/>
    </row>
    <row r="833" spans="15:20" x14ac:dyDescent="0.2">
      <c r="O833"/>
      <c r="P833"/>
      <c r="Q833"/>
      <c r="R833"/>
      <c r="S833"/>
      <c r="T833"/>
    </row>
    <row r="834" spans="15:20" x14ac:dyDescent="0.2">
      <c r="O834"/>
      <c r="P834"/>
      <c r="Q834"/>
      <c r="R834"/>
      <c r="S834"/>
      <c r="T834"/>
    </row>
    <row r="835" spans="15:20" x14ac:dyDescent="0.2">
      <c r="O835"/>
      <c r="P835"/>
      <c r="Q835"/>
      <c r="R835"/>
      <c r="S835"/>
      <c r="T835"/>
    </row>
    <row r="836" spans="15:20" x14ac:dyDescent="0.2">
      <c r="O836"/>
      <c r="P836"/>
      <c r="Q836"/>
      <c r="R836"/>
      <c r="S836"/>
      <c r="T836"/>
    </row>
    <row r="837" spans="15:20" x14ac:dyDescent="0.2">
      <c r="O837"/>
      <c r="P837"/>
      <c r="Q837"/>
      <c r="R837"/>
      <c r="S837"/>
      <c r="T837"/>
    </row>
    <row r="838" spans="15:20" x14ac:dyDescent="0.2">
      <c r="O838"/>
      <c r="P838"/>
      <c r="Q838"/>
      <c r="R838"/>
      <c r="S838"/>
      <c r="T838"/>
    </row>
    <row r="839" spans="15:20" x14ac:dyDescent="0.2">
      <c r="O839"/>
      <c r="P839"/>
      <c r="Q839"/>
      <c r="R839"/>
      <c r="S839"/>
      <c r="T839"/>
    </row>
    <row r="840" spans="15:20" x14ac:dyDescent="0.2">
      <c r="O840"/>
      <c r="P840"/>
      <c r="Q840"/>
      <c r="R840"/>
      <c r="S840"/>
      <c r="T840"/>
    </row>
    <row r="841" spans="15:20" x14ac:dyDescent="0.2">
      <c r="O841"/>
      <c r="P841"/>
      <c r="Q841"/>
      <c r="R841"/>
      <c r="S841"/>
      <c r="T841"/>
    </row>
    <row r="842" spans="15:20" x14ac:dyDescent="0.2">
      <c r="O842"/>
      <c r="P842"/>
      <c r="Q842"/>
      <c r="R842"/>
      <c r="S842"/>
      <c r="T842"/>
    </row>
    <row r="843" spans="15:20" x14ac:dyDescent="0.2">
      <c r="O843"/>
      <c r="P843"/>
      <c r="Q843"/>
      <c r="R843"/>
      <c r="S843"/>
      <c r="T843"/>
    </row>
    <row r="844" spans="15:20" x14ac:dyDescent="0.2">
      <c r="O844"/>
      <c r="P844"/>
      <c r="Q844"/>
      <c r="R844"/>
      <c r="S844"/>
      <c r="T844"/>
    </row>
    <row r="845" spans="15:20" x14ac:dyDescent="0.2">
      <c r="O845"/>
      <c r="P845"/>
      <c r="Q845"/>
      <c r="R845"/>
      <c r="S845"/>
      <c r="T845"/>
    </row>
    <row r="846" spans="15:20" x14ac:dyDescent="0.2">
      <c r="O846"/>
      <c r="P846"/>
      <c r="Q846"/>
      <c r="R846"/>
      <c r="S846"/>
      <c r="T846"/>
    </row>
    <row r="847" spans="15:20" x14ac:dyDescent="0.2">
      <c r="O847"/>
      <c r="P847"/>
      <c r="Q847"/>
      <c r="R847"/>
      <c r="S847"/>
      <c r="T847"/>
    </row>
    <row r="848" spans="15:20" x14ac:dyDescent="0.2">
      <c r="O848"/>
      <c r="P848"/>
      <c r="Q848"/>
      <c r="R848"/>
      <c r="S848"/>
      <c r="T848"/>
    </row>
    <row r="849" spans="15:20" x14ac:dyDescent="0.2">
      <c r="O849"/>
      <c r="P849"/>
      <c r="Q849"/>
      <c r="R849"/>
      <c r="S849"/>
      <c r="T849"/>
    </row>
    <row r="850" spans="15:20" x14ac:dyDescent="0.2">
      <c r="O850"/>
      <c r="P850"/>
      <c r="Q850"/>
      <c r="R850"/>
      <c r="S850"/>
      <c r="T850"/>
    </row>
    <row r="851" spans="15:20" x14ac:dyDescent="0.2">
      <c r="O851"/>
      <c r="P851"/>
      <c r="Q851"/>
      <c r="R851"/>
      <c r="S851"/>
      <c r="T851"/>
    </row>
    <row r="852" spans="15:20" x14ac:dyDescent="0.2">
      <c r="O852"/>
      <c r="P852"/>
      <c r="Q852"/>
      <c r="R852"/>
      <c r="S852"/>
      <c r="T852"/>
    </row>
    <row r="853" spans="15:20" x14ac:dyDescent="0.2">
      <c r="O853"/>
      <c r="P853"/>
      <c r="Q853"/>
      <c r="R853"/>
      <c r="S853"/>
      <c r="T853"/>
    </row>
    <row r="854" spans="15:20" x14ac:dyDescent="0.2">
      <c r="O854"/>
      <c r="P854"/>
      <c r="Q854"/>
      <c r="R854"/>
      <c r="S854"/>
      <c r="T854"/>
    </row>
    <row r="855" spans="15:20" x14ac:dyDescent="0.2">
      <c r="O855"/>
      <c r="P855"/>
      <c r="Q855"/>
      <c r="R855"/>
      <c r="S855"/>
      <c r="T855"/>
    </row>
    <row r="856" spans="15:20" x14ac:dyDescent="0.2">
      <c r="O856"/>
      <c r="P856"/>
      <c r="Q856"/>
      <c r="R856"/>
      <c r="S856"/>
      <c r="T856"/>
    </row>
    <row r="857" spans="15:20" x14ac:dyDescent="0.2">
      <c r="O857"/>
      <c r="P857"/>
      <c r="Q857"/>
      <c r="R857"/>
      <c r="S857"/>
      <c r="T857"/>
    </row>
    <row r="858" spans="15:20" x14ac:dyDescent="0.2">
      <c r="O858"/>
      <c r="P858"/>
      <c r="Q858"/>
      <c r="R858"/>
      <c r="S858"/>
      <c r="T858"/>
    </row>
    <row r="859" spans="15:20" x14ac:dyDescent="0.2">
      <c r="O859"/>
      <c r="P859"/>
      <c r="Q859"/>
      <c r="R859"/>
      <c r="S859"/>
      <c r="T859"/>
    </row>
    <row r="860" spans="15:20" x14ac:dyDescent="0.2">
      <c r="O860"/>
      <c r="P860"/>
      <c r="Q860"/>
      <c r="R860"/>
      <c r="S860"/>
      <c r="T860"/>
    </row>
    <row r="861" spans="15:20" x14ac:dyDescent="0.2">
      <c r="O861"/>
      <c r="P861"/>
      <c r="Q861"/>
      <c r="R861"/>
      <c r="S861"/>
      <c r="T861"/>
    </row>
    <row r="862" spans="15:20" x14ac:dyDescent="0.2">
      <c r="O862"/>
      <c r="P862"/>
      <c r="Q862"/>
      <c r="R862"/>
      <c r="S862"/>
      <c r="T862"/>
    </row>
    <row r="863" spans="15:20" x14ac:dyDescent="0.2">
      <c r="O863"/>
      <c r="P863"/>
      <c r="Q863"/>
      <c r="R863"/>
      <c r="S863"/>
      <c r="T863"/>
    </row>
    <row r="864" spans="15:20" x14ac:dyDescent="0.2">
      <c r="O864"/>
      <c r="P864"/>
      <c r="Q864"/>
      <c r="R864"/>
      <c r="S864"/>
      <c r="T864"/>
    </row>
    <row r="865" spans="15:20" x14ac:dyDescent="0.2">
      <c r="O865"/>
      <c r="P865"/>
      <c r="Q865"/>
      <c r="R865"/>
      <c r="S865"/>
      <c r="T865"/>
    </row>
    <row r="866" spans="15:20" x14ac:dyDescent="0.2">
      <c r="O866"/>
      <c r="P866"/>
      <c r="Q866"/>
      <c r="R866"/>
      <c r="S866"/>
      <c r="T866"/>
    </row>
    <row r="867" spans="15:20" x14ac:dyDescent="0.2">
      <c r="O867"/>
      <c r="P867"/>
      <c r="Q867"/>
      <c r="R867"/>
      <c r="S867"/>
      <c r="T867"/>
    </row>
    <row r="868" spans="15:20" x14ac:dyDescent="0.2">
      <c r="O868"/>
      <c r="P868"/>
      <c r="Q868"/>
      <c r="R868"/>
      <c r="S868"/>
      <c r="T868"/>
    </row>
    <row r="869" spans="15:20" x14ac:dyDescent="0.2">
      <c r="O869"/>
      <c r="P869"/>
      <c r="Q869"/>
      <c r="R869"/>
      <c r="S869"/>
      <c r="T869"/>
    </row>
    <row r="870" spans="15:20" x14ac:dyDescent="0.2">
      <c r="O870"/>
      <c r="P870"/>
      <c r="Q870"/>
      <c r="R870"/>
      <c r="S870"/>
      <c r="T870"/>
    </row>
    <row r="871" spans="15:20" x14ac:dyDescent="0.2">
      <c r="O871"/>
      <c r="P871"/>
      <c r="Q871"/>
      <c r="R871"/>
      <c r="S871"/>
      <c r="T871"/>
    </row>
    <row r="872" spans="15:20" x14ac:dyDescent="0.2">
      <c r="O872"/>
      <c r="P872"/>
      <c r="Q872"/>
      <c r="R872"/>
      <c r="S872"/>
      <c r="T872"/>
    </row>
    <row r="873" spans="15:20" x14ac:dyDescent="0.2">
      <c r="O873"/>
      <c r="P873"/>
      <c r="Q873"/>
      <c r="R873"/>
      <c r="S873"/>
      <c r="T873"/>
    </row>
    <row r="874" spans="15:20" x14ac:dyDescent="0.2">
      <c r="O874"/>
      <c r="P874"/>
      <c r="Q874"/>
      <c r="R874"/>
      <c r="S874"/>
      <c r="T874"/>
    </row>
    <row r="875" spans="15:20" x14ac:dyDescent="0.2">
      <c r="O875"/>
      <c r="P875"/>
      <c r="Q875"/>
      <c r="R875"/>
      <c r="S875"/>
      <c r="T875"/>
    </row>
    <row r="876" spans="15:20" x14ac:dyDescent="0.2">
      <c r="O876"/>
      <c r="P876"/>
      <c r="Q876"/>
      <c r="R876"/>
      <c r="S876"/>
      <c r="T876"/>
    </row>
    <row r="877" spans="15:20" x14ac:dyDescent="0.2">
      <c r="O877"/>
      <c r="P877"/>
      <c r="Q877"/>
      <c r="R877"/>
      <c r="S877"/>
      <c r="T877"/>
    </row>
    <row r="878" spans="15:20" x14ac:dyDescent="0.2">
      <c r="O878"/>
      <c r="P878"/>
      <c r="Q878"/>
      <c r="R878"/>
      <c r="S878"/>
      <c r="T878"/>
    </row>
    <row r="879" spans="15:20" x14ac:dyDescent="0.2">
      <c r="O879"/>
      <c r="P879"/>
      <c r="Q879"/>
      <c r="R879"/>
      <c r="S879"/>
      <c r="T879"/>
    </row>
    <row r="880" spans="15:20" x14ac:dyDescent="0.2">
      <c r="O880"/>
      <c r="P880"/>
      <c r="Q880"/>
      <c r="R880"/>
      <c r="S880"/>
      <c r="T880"/>
    </row>
    <row r="881" spans="15:20" x14ac:dyDescent="0.2">
      <c r="O881"/>
      <c r="P881"/>
      <c r="Q881"/>
      <c r="R881"/>
      <c r="S881"/>
      <c r="T881"/>
    </row>
    <row r="882" spans="15:20" x14ac:dyDescent="0.2">
      <c r="O882"/>
      <c r="P882"/>
      <c r="Q882"/>
      <c r="R882"/>
      <c r="S882"/>
      <c r="T882"/>
    </row>
    <row r="883" spans="15:20" x14ac:dyDescent="0.2">
      <c r="O883"/>
      <c r="P883"/>
      <c r="Q883"/>
      <c r="R883"/>
      <c r="S883"/>
      <c r="T883"/>
    </row>
    <row r="884" spans="15:20" x14ac:dyDescent="0.2">
      <c r="O884"/>
      <c r="P884"/>
      <c r="Q884"/>
      <c r="R884"/>
      <c r="S884"/>
      <c r="T884"/>
    </row>
    <row r="885" spans="15:20" x14ac:dyDescent="0.2">
      <c r="O885"/>
      <c r="P885"/>
      <c r="Q885"/>
      <c r="R885"/>
      <c r="S885"/>
      <c r="T885"/>
    </row>
    <row r="886" spans="15:20" x14ac:dyDescent="0.2">
      <c r="O886"/>
      <c r="P886"/>
      <c r="Q886"/>
      <c r="R886"/>
      <c r="S886"/>
      <c r="T886"/>
    </row>
    <row r="887" spans="15:20" x14ac:dyDescent="0.2">
      <c r="O887"/>
      <c r="P887"/>
      <c r="Q887"/>
      <c r="R887"/>
      <c r="S887"/>
      <c r="T887"/>
    </row>
    <row r="888" spans="15:20" x14ac:dyDescent="0.2">
      <c r="O888"/>
      <c r="P888"/>
      <c r="Q888"/>
      <c r="R888"/>
      <c r="S888"/>
      <c r="T888"/>
    </row>
    <row r="889" spans="15:20" x14ac:dyDescent="0.2">
      <c r="O889"/>
      <c r="P889"/>
      <c r="Q889"/>
      <c r="R889"/>
      <c r="S889"/>
      <c r="T889"/>
    </row>
    <row r="890" spans="15:20" x14ac:dyDescent="0.2">
      <c r="O890"/>
      <c r="P890"/>
      <c r="Q890"/>
      <c r="R890"/>
      <c r="S890"/>
      <c r="T890"/>
    </row>
    <row r="891" spans="15:20" x14ac:dyDescent="0.2">
      <c r="O891"/>
      <c r="P891"/>
      <c r="Q891"/>
      <c r="R891"/>
      <c r="S891"/>
      <c r="T891"/>
    </row>
    <row r="892" spans="15:20" x14ac:dyDescent="0.2">
      <c r="O892"/>
      <c r="P892"/>
      <c r="Q892"/>
      <c r="R892"/>
      <c r="S892"/>
      <c r="T892"/>
    </row>
    <row r="893" spans="15:20" x14ac:dyDescent="0.2">
      <c r="O893"/>
      <c r="P893"/>
      <c r="Q893"/>
      <c r="R893"/>
      <c r="S893"/>
      <c r="T893"/>
    </row>
    <row r="894" spans="15:20" x14ac:dyDescent="0.2">
      <c r="O894"/>
      <c r="P894"/>
      <c r="Q894"/>
      <c r="R894"/>
      <c r="S894"/>
      <c r="T894"/>
    </row>
    <row r="895" spans="15:20" x14ac:dyDescent="0.2">
      <c r="O895"/>
      <c r="P895"/>
      <c r="Q895"/>
      <c r="R895"/>
      <c r="S895"/>
      <c r="T895"/>
    </row>
    <row r="896" spans="15:20" x14ac:dyDescent="0.2">
      <c r="O896"/>
      <c r="P896"/>
      <c r="Q896"/>
      <c r="R896"/>
      <c r="S896"/>
      <c r="T896"/>
    </row>
    <row r="897" spans="15:20" x14ac:dyDescent="0.2">
      <c r="O897"/>
      <c r="P897"/>
      <c r="Q897"/>
      <c r="R897"/>
      <c r="S897"/>
      <c r="T897"/>
    </row>
    <row r="898" spans="15:20" x14ac:dyDescent="0.2">
      <c r="O898"/>
      <c r="P898"/>
      <c r="Q898"/>
      <c r="R898"/>
      <c r="S898"/>
      <c r="T898"/>
    </row>
    <row r="899" spans="15:20" x14ac:dyDescent="0.2">
      <c r="O899"/>
      <c r="P899"/>
      <c r="Q899"/>
      <c r="R899"/>
      <c r="S899"/>
      <c r="T899"/>
    </row>
    <row r="900" spans="15:20" x14ac:dyDescent="0.2">
      <c r="O900"/>
      <c r="P900"/>
      <c r="Q900"/>
      <c r="R900"/>
      <c r="S900"/>
      <c r="T900"/>
    </row>
    <row r="901" spans="15:20" x14ac:dyDescent="0.2">
      <c r="O901"/>
      <c r="P901"/>
      <c r="Q901"/>
      <c r="R901"/>
      <c r="S901"/>
      <c r="T901"/>
    </row>
    <row r="902" spans="15:20" x14ac:dyDescent="0.2">
      <c r="O902"/>
      <c r="P902"/>
      <c r="Q902"/>
      <c r="R902"/>
      <c r="S902"/>
      <c r="T902"/>
    </row>
    <row r="903" spans="15:20" x14ac:dyDescent="0.2">
      <c r="O903"/>
      <c r="P903"/>
      <c r="Q903"/>
      <c r="R903"/>
      <c r="S903"/>
      <c r="T903"/>
    </row>
    <row r="904" spans="15:20" x14ac:dyDescent="0.2">
      <c r="O904"/>
      <c r="P904"/>
      <c r="Q904"/>
      <c r="R904"/>
      <c r="S904"/>
      <c r="T904"/>
    </row>
    <row r="905" spans="15:20" x14ac:dyDescent="0.2">
      <c r="O905"/>
      <c r="P905"/>
      <c r="Q905"/>
      <c r="R905"/>
      <c r="S905"/>
      <c r="T905"/>
    </row>
    <row r="906" spans="15:20" x14ac:dyDescent="0.2">
      <c r="O906"/>
      <c r="P906"/>
      <c r="Q906"/>
      <c r="R906"/>
      <c r="S906"/>
      <c r="T906"/>
    </row>
    <row r="907" spans="15:20" x14ac:dyDescent="0.2">
      <c r="O907"/>
      <c r="P907"/>
      <c r="Q907"/>
      <c r="R907"/>
      <c r="S907"/>
      <c r="T907"/>
    </row>
    <row r="908" spans="15:20" x14ac:dyDescent="0.2">
      <c r="O908"/>
      <c r="P908"/>
      <c r="Q908"/>
      <c r="R908"/>
      <c r="S908"/>
      <c r="T908"/>
    </row>
    <row r="909" spans="15:20" x14ac:dyDescent="0.2">
      <c r="O909"/>
      <c r="P909"/>
      <c r="Q909"/>
      <c r="R909"/>
      <c r="S909"/>
      <c r="T909"/>
    </row>
    <row r="910" spans="15:20" x14ac:dyDescent="0.2">
      <c r="O910"/>
      <c r="P910"/>
      <c r="Q910"/>
      <c r="R910"/>
      <c r="S910"/>
      <c r="T910"/>
    </row>
    <row r="911" spans="15:20" x14ac:dyDescent="0.2">
      <c r="O911"/>
      <c r="P911"/>
      <c r="Q911"/>
      <c r="R911"/>
      <c r="S911"/>
      <c r="T911"/>
    </row>
    <row r="912" spans="15:20" x14ac:dyDescent="0.2">
      <c r="O912"/>
      <c r="P912"/>
      <c r="Q912"/>
      <c r="R912"/>
      <c r="S912"/>
      <c r="T912"/>
    </row>
    <row r="913" spans="15:20" x14ac:dyDescent="0.2">
      <c r="O913"/>
      <c r="P913"/>
      <c r="Q913"/>
      <c r="R913"/>
      <c r="S913"/>
      <c r="T913"/>
    </row>
    <row r="914" spans="15:20" x14ac:dyDescent="0.2">
      <c r="O914"/>
      <c r="P914"/>
      <c r="Q914"/>
      <c r="R914"/>
      <c r="S914"/>
      <c r="T914"/>
    </row>
    <row r="915" spans="15:20" x14ac:dyDescent="0.2">
      <c r="O915"/>
      <c r="P915"/>
      <c r="Q915"/>
      <c r="R915"/>
      <c r="S915"/>
      <c r="T915"/>
    </row>
    <row r="916" spans="15:20" x14ac:dyDescent="0.2">
      <c r="O916"/>
      <c r="P916"/>
      <c r="Q916"/>
      <c r="R916"/>
      <c r="S916"/>
      <c r="T916"/>
    </row>
    <row r="917" spans="15:20" x14ac:dyDescent="0.2">
      <c r="O917"/>
      <c r="P917"/>
      <c r="Q917"/>
      <c r="R917"/>
      <c r="S917"/>
      <c r="T917"/>
    </row>
    <row r="918" spans="15:20" x14ac:dyDescent="0.2">
      <c r="O918"/>
      <c r="P918"/>
      <c r="Q918"/>
      <c r="R918"/>
      <c r="S918"/>
      <c r="T918"/>
    </row>
    <row r="919" spans="15:20" x14ac:dyDescent="0.2">
      <c r="O919"/>
      <c r="P919"/>
      <c r="Q919"/>
      <c r="R919"/>
      <c r="S919"/>
      <c r="T919"/>
    </row>
    <row r="920" spans="15:20" x14ac:dyDescent="0.2">
      <c r="O920"/>
      <c r="P920"/>
      <c r="Q920"/>
      <c r="R920"/>
      <c r="S920"/>
      <c r="T920"/>
    </row>
    <row r="921" spans="15:20" x14ac:dyDescent="0.2">
      <c r="O921"/>
      <c r="P921"/>
      <c r="Q921"/>
      <c r="R921"/>
      <c r="S921"/>
      <c r="T921"/>
    </row>
    <row r="922" spans="15:20" x14ac:dyDescent="0.2">
      <c r="O922"/>
      <c r="P922"/>
      <c r="Q922"/>
      <c r="R922"/>
      <c r="S922"/>
      <c r="T922"/>
    </row>
  </sheetData>
  <autoFilter ref="A1:AV1">
    <filterColumn colId="1" showButton="0"/>
    <filterColumn colId="2" showButton="0"/>
    <filterColumn colId="3" showButton="0"/>
    <filterColumn colId="4" showButton="0"/>
    <filterColumn colId="6" showButton="0"/>
    <filterColumn colId="8" showButton="0"/>
    <filterColumn colId="10" showButton="0"/>
    <filterColumn colId="12" showButton="0"/>
    <filterColumn colId="20" showButton="0"/>
    <filterColumn colId="23" showButton="0"/>
    <filterColumn colId="25" showButton="0"/>
    <filterColumn colId="27" showButton="0"/>
    <filterColumn colId="29" showButton="0"/>
    <filterColumn colId="30" showButton="0"/>
    <filterColumn colId="32" showButton="0"/>
    <filterColumn colId="33" showButton="0"/>
    <filterColumn colId="34" showButton="0"/>
    <filterColumn colId="36" showButton="0"/>
    <filterColumn colId="37" showButton="0"/>
  </autoFilter>
  <mergeCells count="10">
    <mergeCell ref="B1:F1"/>
    <mergeCell ref="G1:H1"/>
    <mergeCell ref="I1:J1"/>
    <mergeCell ref="AG1:AJ1"/>
    <mergeCell ref="AK1:AM1"/>
    <mergeCell ref="U1:V1"/>
    <mergeCell ref="X1:Y1"/>
    <mergeCell ref="Z1:AA1"/>
    <mergeCell ref="AB1:AC1"/>
    <mergeCell ref="AD1:AF1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schedule</vt:lpstr>
      <vt:lpstr>schedule2</vt:lpstr>
      <vt:lpstr>plan</vt:lpstr>
      <vt:lpstr>schedule!Print_Area</vt:lpstr>
      <vt:lpstr>schedule2!Print_Area</vt:lpstr>
    </vt:vector>
  </TitlesOfParts>
  <Company>LCB1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Sompoch</dc:creator>
  <cp:lastModifiedBy>Chutchai S.</cp:lastModifiedBy>
  <cp:lastPrinted>2017-08-11T09:46:21Z</cp:lastPrinted>
  <dcterms:created xsi:type="dcterms:W3CDTF">2010-12-29T11:24:12Z</dcterms:created>
  <dcterms:modified xsi:type="dcterms:W3CDTF">2017-08-11T10:13:35Z</dcterms:modified>
</cp:coreProperties>
</file>